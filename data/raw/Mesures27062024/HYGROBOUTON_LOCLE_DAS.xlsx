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RaD\040-ProjetsRaD\22IGIb10 ASRH - Wavelength Modulation Spectroscopy\3-Developpement\MesuresAerodiodeLaser_ClimaticChamber\Mesures27062024\"/>
    </mc:Choice>
  </mc:AlternateContent>
  <xr:revisionPtr revIDLastSave="0" documentId="13_ncr:1_{B4BF285A-2196-4A19-A541-2EAA787CFB84}" xr6:coauthVersionLast="47" xr6:coauthVersionMax="47" xr10:uidLastSave="{00000000-0000-0000-0000-000000000000}"/>
  <bookViews>
    <workbookView xWindow="28680" yWindow="-120" windowWidth="29040" windowHeight="15720" xr2:uid="{4978B480-5702-4BA3-8B52-2C85F5AD7ACF}"/>
  </bookViews>
  <sheets>
    <sheet name="20240627-6D000000710BF641___ HY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I570" i="1"/>
  <c r="H28" i="1"/>
  <c r="H44" i="1"/>
  <c r="H51" i="1"/>
  <c r="H60" i="1"/>
  <c r="H81" i="1"/>
  <c r="H89" i="1"/>
  <c r="H92" i="1"/>
  <c r="H100" i="1"/>
  <c r="H106" i="1"/>
  <c r="H114" i="1"/>
  <c r="J114" i="1" s="1"/>
  <c r="H137" i="1"/>
  <c r="H140" i="1"/>
  <c r="H145" i="1"/>
  <c r="H148" i="1"/>
  <c r="H153" i="1"/>
  <c r="H156" i="1"/>
  <c r="H161" i="1"/>
  <c r="H164" i="1"/>
  <c r="H169" i="1"/>
  <c r="H172" i="1"/>
  <c r="H177" i="1"/>
  <c r="H180" i="1"/>
  <c r="H185" i="1"/>
  <c r="H188" i="1"/>
  <c r="H193" i="1"/>
  <c r="H196" i="1"/>
  <c r="H201" i="1"/>
  <c r="H204" i="1"/>
  <c r="H209" i="1"/>
  <c r="H212" i="1"/>
  <c r="H217" i="1"/>
  <c r="H220" i="1"/>
  <c r="H225" i="1"/>
  <c r="H228" i="1"/>
  <c r="H233" i="1"/>
  <c r="H236" i="1"/>
  <c r="H241" i="1"/>
  <c r="H244" i="1"/>
  <c r="H249" i="1"/>
  <c r="H252" i="1"/>
  <c r="H257" i="1"/>
  <c r="H260" i="1"/>
  <c r="H265" i="1"/>
  <c r="H268" i="1"/>
  <c r="H273" i="1"/>
  <c r="H276" i="1"/>
  <c r="H281" i="1"/>
  <c r="H284" i="1"/>
  <c r="H289" i="1"/>
  <c r="H292" i="1"/>
  <c r="H297" i="1"/>
  <c r="H300" i="1"/>
  <c r="H305" i="1"/>
  <c r="H308" i="1"/>
  <c r="H313" i="1"/>
  <c r="H316" i="1"/>
  <c r="H321" i="1"/>
  <c r="H324" i="1"/>
  <c r="H329" i="1"/>
  <c r="H332" i="1"/>
  <c r="H337" i="1"/>
  <c r="H340" i="1"/>
  <c r="H345" i="1"/>
  <c r="H348" i="1"/>
  <c r="H353" i="1"/>
  <c r="H356" i="1"/>
  <c r="H361" i="1"/>
  <c r="H364" i="1"/>
  <c r="H369" i="1"/>
  <c r="H372" i="1"/>
  <c r="H377" i="1"/>
  <c r="H380" i="1"/>
  <c r="H385" i="1"/>
  <c r="H388" i="1"/>
  <c r="H393" i="1"/>
  <c r="H396" i="1"/>
  <c r="H401" i="1"/>
  <c r="H404" i="1"/>
  <c r="H409" i="1"/>
  <c r="H412" i="1"/>
  <c r="H417" i="1"/>
  <c r="H420" i="1"/>
  <c r="H425" i="1"/>
  <c r="H428" i="1"/>
  <c r="H433" i="1"/>
  <c r="H436" i="1"/>
  <c r="H441" i="1"/>
  <c r="H444" i="1"/>
  <c r="H449" i="1"/>
  <c r="H452" i="1"/>
  <c r="H457" i="1"/>
  <c r="H460" i="1"/>
  <c r="H465" i="1"/>
  <c r="H468" i="1"/>
  <c r="H473" i="1"/>
  <c r="H476" i="1"/>
  <c r="H481" i="1"/>
  <c r="H484" i="1"/>
  <c r="H489" i="1"/>
  <c r="H492" i="1"/>
  <c r="H497" i="1"/>
  <c r="H500" i="1"/>
  <c r="H505" i="1"/>
  <c r="H508" i="1"/>
  <c r="H513" i="1"/>
  <c r="H516" i="1"/>
  <c r="H521" i="1"/>
  <c r="H524" i="1"/>
  <c r="H529" i="1"/>
  <c r="H532" i="1"/>
  <c r="H537" i="1"/>
  <c r="H540" i="1"/>
  <c r="H545" i="1"/>
  <c r="H548" i="1"/>
  <c r="H553" i="1"/>
  <c r="H556" i="1"/>
  <c r="H561" i="1"/>
  <c r="H564" i="1"/>
  <c r="H569" i="1"/>
  <c r="H572" i="1"/>
  <c r="H577" i="1"/>
  <c r="H580" i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G90" i="1"/>
  <c r="H90" i="1" s="1"/>
  <c r="G91" i="1"/>
  <c r="H91" i="1" s="1"/>
  <c r="G92" i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G138" i="1"/>
  <c r="H138" i="1" s="1"/>
  <c r="G139" i="1"/>
  <c r="H139" i="1" s="1"/>
  <c r="G140" i="1"/>
  <c r="G141" i="1"/>
  <c r="H141" i="1" s="1"/>
  <c r="G142" i="1"/>
  <c r="H142" i="1" s="1"/>
  <c r="G143" i="1"/>
  <c r="H143" i="1" s="1"/>
  <c r="G144" i="1"/>
  <c r="H144" i="1" s="1"/>
  <c r="G145" i="1"/>
  <c r="G146" i="1"/>
  <c r="H146" i="1" s="1"/>
  <c r="G147" i="1"/>
  <c r="H147" i="1" s="1"/>
  <c r="G148" i="1"/>
  <c r="G149" i="1"/>
  <c r="H149" i="1" s="1"/>
  <c r="G150" i="1"/>
  <c r="H150" i="1" s="1"/>
  <c r="G151" i="1"/>
  <c r="H151" i="1" s="1"/>
  <c r="G152" i="1"/>
  <c r="H152" i="1" s="1"/>
  <c r="G153" i="1"/>
  <c r="G154" i="1"/>
  <c r="H154" i="1" s="1"/>
  <c r="G155" i="1"/>
  <c r="H155" i="1" s="1"/>
  <c r="G156" i="1"/>
  <c r="G157" i="1"/>
  <c r="H157" i="1" s="1"/>
  <c r="G158" i="1"/>
  <c r="H158" i="1" s="1"/>
  <c r="G159" i="1"/>
  <c r="H159" i="1" s="1"/>
  <c r="G160" i="1"/>
  <c r="H160" i="1" s="1"/>
  <c r="G161" i="1"/>
  <c r="G162" i="1"/>
  <c r="H162" i="1" s="1"/>
  <c r="G163" i="1"/>
  <c r="H163" i="1" s="1"/>
  <c r="G164" i="1"/>
  <c r="G165" i="1"/>
  <c r="H165" i="1" s="1"/>
  <c r="G166" i="1"/>
  <c r="H166" i="1" s="1"/>
  <c r="G167" i="1"/>
  <c r="H167" i="1" s="1"/>
  <c r="G168" i="1"/>
  <c r="H168" i="1" s="1"/>
  <c r="G169" i="1"/>
  <c r="G170" i="1"/>
  <c r="H170" i="1" s="1"/>
  <c r="G171" i="1"/>
  <c r="H171" i="1" s="1"/>
  <c r="G172" i="1"/>
  <c r="G173" i="1"/>
  <c r="H173" i="1" s="1"/>
  <c r="G174" i="1"/>
  <c r="H174" i="1" s="1"/>
  <c r="G175" i="1"/>
  <c r="H175" i="1" s="1"/>
  <c r="G176" i="1"/>
  <c r="H176" i="1" s="1"/>
  <c r="G177" i="1"/>
  <c r="G178" i="1"/>
  <c r="H178" i="1" s="1"/>
  <c r="G179" i="1"/>
  <c r="H179" i="1" s="1"/>
  <c r="G180" i="1"/>
  <c r="G181" i="1"/>
  <c r="H181" i="1" s="1"/>
  <c r="G182" i="1"/>
  <c r="H182" i="1" s="1"/>
  <c r="G183" i="1"/>
  <c r="H183" i="1" s="1"/>
  <c r="G184" i="1"/>
  <c r="H184" i="1" s="1"/>
  <c r="G185" i="1"/>
  <c r="G186" i="1"/>
  <c r="H186" i="1" s="1"/>
  <c r="G187" i="1"/>
  <c r="H187" i="1" s="1"/>
  <c r="G188" i="1"/>
  <c r="G189" i="1"/>
  <c r="H189" i="1" s="1"/>
  <c r="G190" i="1"/>
  <c r="H190" i="1" s="1"/>
  <c r="G191" i="1"/>
  <c r="H191" i="1" s="1"/>
  <c r="G192" i="1"/>
  <c r="H192" i="1" s="1"/>
  <c r="G193" i="1"/>
  <c r="G194" i="1"/>
  <c r="H194" i="1" s="1"/>
  <c r="G195" i="1"/>
  <c r="H195" i="1" s="1"/>
  <c r="G196" i="1"/>
  <c r="G197" i="1"/>
  <c r="H197" i="1" s="1"/>
  <c r="G198" i="1"/>
  <c r="H198" i="1" s="1"/>
  <c r="G199" i="1"/>
  <c r="H199" i="1" s="1"/>
  <c r="G200" i="1"/>
  <c r="H200" i="1" s="1"/>
  <c r="G201" i="1"/>
  <c r="G202" i="1"/>
  <c r="H202" i="1" s="1"/>
  <c r="G203" i="1"/>
  <c r="H203" i="1" s="1"/>
  <c r="G204" i="1"/>
  <c r="G205" i="1"/>
  <c r="H205" i="1" s="1"/>
  <c r="G206" i="1"/>
  <c r="H206" i="1" s="1"/>
  <c r="G207" i="1"/>
  <c r="H207" i="1" s="1"/>
  <c r="G208" i="1"/>
  <c r="H208" i="1" s="1"/>
  <c r="G209" i="1"/>
  <c r="G210" i="1"/>
  <c r="H210" i="1" s="1"/>
  <c r="G211" i="1"/>
  <c r="H211" i="1" s="1"/>
  <c r="G212" i="1"/>
  <c r="G213" i="1"/>
  <c r="H213" i="1" s="1"/>
  <c r="G214" i="1"/>
  <c r="H214" i="1" s="1"/>
  <c r="G215" i="1"/>
  <c r="H215" i="1" s="1"/>
  <c r="G216" i="1"/>
  <c r="H216" i="1" s="1"/>
  <c r="G217" i="1"/>
  <c r="G218" i="1"/>
  <c r="H218" i="1" s="1"/>
  <c r="G219" i="1"/>
  <c r="H219" i="1" s="1"/>
  <c r="G220" i="1"/>
  <c r="G221" i="1"/>
  <c r="H221" i="1" s="1"/>
  <c r="G222" i="1"/>
  <c r="H222" i="1" s="1"/>
  <c r="G223" i="1"/>
  <c r="H223" i="1" s="1"/>
  <c r="G224" i="1"/>
  <c r="H224" i="1" s="1"/>
  <c r="G225" i="1"/>
  <c r="G226" i="1"/>
  <c r="H226" i="1" s="1"/>
  <c r="G227" i="1"/>
  <c r="H227" i="1" s="1"/>
  <c r="G228" i="1"/>
  <c r="G229" i="1"/>
  <c r="H229" i="1" s="1"/>
  <c r="G230" i="1"/>
  <c r="H230" i="1" s="1"/>
  <c r="G231" i="1"/>
  <c r="H231" i="1" s="1"/>
  <c r="G232" i="1"/>
  <c r="H232" i="1" s="1"/>
  <c r="G233" i="1"/>
  <c r="G234" i="1"/>
  <c r="H234" i="1" s="1"/>
  <c r="G235" i="1"/>
  <c r="H235" i="1" s="1"/>
  <c r="G236" i="1"/>
  <c r="G237" i="1"/>
  <c r="H237" i="1" s="1"/>
  <c r="G238" i="1"/>
  <c r="H238" i="1" s="1"/>
  <c r="G239" i="1"/>
  <c r="H239" i="1" s="1"/>
  <c r="G240" i="1"/>
  <c r="H240" i="1" s="1"/>
  <c r="G241" i="1"/>
  <c r="G242" i="1"/>
  <c r="H242" i="1" s="1"/>
  <c r="G243" i="1"/>
  <c r="H243" i="1" s="1"/>
  <c r="G244" i="1"/>
  <c r="G245" i="1"/>
  <c r="H245" i="1" s="1"/>
  <c r="G246" i="1"/>
  <c r="H246" i="1" s="1"/>
  <c r="G247" i="1"/>
  <c r="H247" i="1" s="1"/>
  <c r="G248" i="1"/>
  <c r="H248" i="1" s="1"/>
  <c r="G249" i="1"/>
  <c r="G250" i="1"/>
  <c r="H250" i="1" s="1"/>
  <c r="G251" i="1"/>
  <c r="H251" i="1" s="1"/>
  <c r="G252" i="1"/>
  <c r="G253" i="1"/>
  <c r="H253" i="1" s="1"/>
  <c r="G254" i="1"/>
  <c r="H254" i="1" s="1"/>
  <c r="G255" i="1"/>
  <c r="H255" i="1" s="1"/>
  <c r="G256" i="1"/>
  <c r="H256" i="1" s="1"/>
  <c r="G257" i="1"/>
  <c r="G258" i="1"/>
  <c r="H258" i="1" s="1"/>
  <c r="G259" i="1"/>
  <c r="H259" i="1" s="1"/>
  <c r="G260" i="1"/>
  <c r="G261" i="1"/>
  <c r="H261" i="1" s="1"/>
  <c r="G262" i="1"/>
  <c r="H262" i="1" s="1"/>
  <c r="G263" i="1"/>
  <c r="H263" i="1" s="1"/>
  <c r="G264" i="1"/>
  <c r="H264" i="1" s="1"/>
  <c r="G265" i="1"/>
  <c r="G266" i="1"/>
  <c r="H266" i="1" s="1"/>
  <c r="G267" i="1"/>
  <c r="H267" i="1" s="1"/>
  <c r="G268" i="1"/>
  <c r="G269" i="1"/>
  <c r="H269" i="1" s="1"/>
  <c r="G270" i="1"/>
  <c r="H270" i="1" s="1"/>
  <c r="G271" i="1"/>
  <c r="H271" i="1" s="1"/>
  <c r="G272" i="1"/>
  <c r="H272" i="1" s="1"/>
  <c r="G273" i="1"/>
  <c r="G274" i="1"/>
  <c r="H274" i="1" s="1"/>
  <c r="G275" i="1"/>
  <c r="H275" i="1" s="1"/>
  <c r="G276" i="1"/>
  <c r="G277" i="1"/>
  <c r="H277" i="1" s="1"/>
  <c r="G278" i="1"/>
  <c r="H278" i="1" s="1"/>
  <c r="G279" i="1"/>
  <c r="H279" i="1" s="1"/>
  <c r="G280" i="1"/>
  <c r="H280" i="1" s="1"/>
  <c r="G281" i="1"/>
  <c r="G282" i="1"/>
  <c r="H282" i="1" s="1"/>
  <c r="G283" i="1"/>
  <c r="H283" i="1" s="1"/>
  <c r="G284" i="1"/>
  <c r="G285" i="1"/>
  <c r="H285" i="1" s="1"/>
  <c r="G286" i="1"/>
  <c r="H286" i="1" s="1"/>
  <c r="G287" i="1"/>
  <c r="H287" i="1" s="1"/>
  <c r="G288" i="1"/>
  <c r="H288" i="1" s="1"/>
  <c r="G289" i="1"/>
  <c r="G290" i="1"/>
  <c r="H290" i="1" s="1"/>
  <c r="G291" i="1"/>
  <c r="H291" i="1" s="1"/>
  <c r="G292" i="1"/>
  <c r="G293" i="1"/>
  <c r="H293" i="1" s="1"/>
  <c r="G294" i="1"/>
  <c r="H294" i="1" s="1"/>
  <c r="G295" i="1"/>
  <c r="H295" i="1" s="1"/>
  <c r="G296" i="1"/>
  <c r="H296" i="1" s="1"/>
  <c r="G297" i="1"/>
  <c r="G298" i="1"/>
  <c r="H298" i="1" s="1"/>
  <c r="G299" i="1"/>
  <c r="H299" i="1" s="1"/>
  <c r="G300" i="1"/>
  <c r="G301" i="1"/>
  <c r="H301" i="1" s="1"/>
  <c r="G302" i="1"/>
  <c r="H302" i="1" s="1"/>
  <c r="G303" i="1"/>
  <c r="H303" i="1" s="1"/>
  <c r="G304" i="1"/>
  <c r="H304" i="1" s="1"/>
  <c r="G305" i="1"/>
  <c r="G306" i="1"/>
  <c r="H306" i="1" s="1"/>
  <c r="G307" i="1"/>
  <c r="H307" i="1" s="1"/>
  <c r="G308" i="1"/>
  <c r="G309" i="1"/>
  <c r="H309" i="1" s="1"/>
  <c r="G310" i="1"/>
  <c r="H310" i="1" s="1"/>
  <c r="G311" i="1"/>
  <c r="H311" i="1" s="1"/>
  <c r="G312" i="1"/>
  <c r="H312" i="1" s="1"/>
  <c r="G313" i="1"/>
  <c r="G314" i="1"/>
  <c r="H314" i="1" s="1"/>
  <c r="G315" i="1"/>
  <c r="H315" i="1" s="1"/>
  <c r="G316" i="1"/>
  <c r="G317" i="1"/>
  <c r="H317" i="1" s="1"/>
  <c r="G318" i="1"/>
  <c r="H318" i="1" s="1"/>
  <c r="G319" i="1"/>
  <c r="H319" i="1" s="1"/>
  <c r="G320" i="1"/>
  <c r="H320" i="1" s="1"/>
  <c r="G321" i="1"/>
  <c r="G322" i="1"/>
  <c r="H322" i="1" s="1"/>
  <c r="G323" i="1"/>
  <c r="H323" i="1" s="1"/>
  <c r="G324" i="1"/>
  <c r="G325" i="1"/>
  <c r="H325" i="1" s="1"/>
  <c r="G326" i="1"/>
  <c r="H326" i="1" s="1"/>
  <c r="G327" i="1"/>
  <c r="H327" i="1" s="1"/>
  <c r="G328" i="1"/>
  <c r="H328" i="1" s="1"/>
  <c r="G329" i="1"/>
  <c r="G330" i="1"/>
  <c r="H330" i="1" s="1"/>
  <c r="G331" i="1"/>
  <c r="H331" i="1" s="1"/>
  <c r="G332" i="1"/>
  <c r="G333" i="1"/>
  <c r="H333" i="1" s="1"/>
  <c r="G334" i="1"/>
  <c r="H334" i="1" s="1"/>
  <c r="G335" i="1"/>
  <c r="H335" i="1" s="1"/>
  <c r="G336" i="1"/>
  <c r="H336" i="1" s="1"/>
  <c r="G337" i="1"/>
  <c r="G338" i="1"/>
  <c r="H338" i="1" s="1"/>
  <c r="G339" i="1"/>
  <c r="H339" i="1" s="1"/>
  <c r="G340" i="1"/>
  <c r="G341" i="1"/>
  <c r="H341" i="1" s="1"/>
  <c r="G342" i="1"/>
  <c r="H342" i="1" s="1"/>
  <c r="G343" i="1"/>
  <c r="H343" i="1" s="1"/>
  <c r="G344" i="1"/>
  <c r="H344" i="1" s="1"/>
  <c r="G345" i="1"/>
  <c r="G346" i="1"/>
  <c r="H346" i="1" s="1"/>
  <c r="J346" i="1" s="1"/>
  <c r="G347" i="1"/>
  <c r="H347" i="1" s="1"/>
  <c r="G348" i="1"/>
  <c r="G349" i="1"/>
  <c r="H349" i="1" s="1"/>
  <c r="G350" i="1"/>
  <c r="H350" i="1" s="1"/>
  <c r="G351" i="1"/>
  <c r="H351" i="1" s="1"/>
  <c r="G352" i="1"/>
  <c r="H352" i="1" s="1"/>
  <c r="G353" i="1"/>
  <c r="G354" i="1"/>
  <c r="H354" i="1" s="1"/>
  <c r="G355" i="1"/>
  <c r="H355" i="1" s="1"/>
  <c r="G356" i="1"/>
  <c r="G357" i="1"/>
  <c r="H357" i="1" s="1"/>
  <c r="G358" i="1"/>
  <c r="H358" i="1" s="1"/>
  <c r="G359" i="1"/>
  <c r="H359" i="1" s="1"/>
  <c r="G360" i="1"/>
  <c r="H360" i="1" s="1"/>
  <c r="G361" i="1"/>
  <c r="G362" i="1"/>
  <c r="H362" i="1" s="1"/>
  <c r="G363" i="1"/>
  <c r="H363" i="1" s="1"/>
  <c r="G364" i="1"/>
  <c r="G365" i="1"/>
  <c r="H365" i="1" s="1"/>
  <c r="G366" i="1"/>
  <c r="H366" i="1" s="1"/>
  <c r="G367" i="1"/>
  <c r="H367" i="1" s="1"/>
  <c r="G368" i="1"/>
  <c r="H368" i="1" s="1"/>
  <c r="G369" i="1"/>
  <c r="G370" i="1"/>
  <c r="H370" i="1" s="1"/>
  <c r="G371" i="1"/>
  <c r="H371" i="1" s="1"/>
  <c r="G372" i="1"/>
  <c r="G373" i="1"/>
  <c r="H373" i="1" s="1"/>
  <c r="G374" i="1"/>
  <c r="H374" i="1" s="1"/>
  <c r="G375" i="1"/>
  <c r="H375" i="1" s="1"/>
  <c r="G376" i="1"/>
  <c r="H376" i="1" s="1"/>
  <c r="G377" i="1"/>
  <c r="G378" i="1"/>
  <c r="H378" i="1" s="1"/>
  <c r="G379" i="1"/>
  <c r="H379" i="1" s="1"/>
  <c r="G380" i="1"/>
  <c r="G381" i="1"/>
  <c r="H381" i="1" s="1"/>
  <c r="G382" i="1"/>
  <c r="H382" i="1" s="1"/>
  <c r="G383" i="1"/>
  <c r="H383" i="1" s="1"/>
  <c r="G384" i="1"/>
  <c r="H384" i="1" s="1"/>
  <c r="G385" i="1"/>
  <c r="G386" i="1"/>
  <c r="H386" i="1" s="1"/>
  <c r="G387" i="1"/>
  <c r="H387" i="1" s="1"/>
  <c r="G388" i="1"/>
  <c r="G389" i="1"/>
  <c r="H389" i="1" s="1"/>
  <c r="G390" i="1"/>
  <c r="H390" i="1" s="1"/>
  <c r="G391" i="1"/>
  <c r="H391" i="1" s="1"/>
  <c r="G392" i="1"/>
  <c r="H392" i="1" s="1"/>
  <c r="G393" i="1"/>
  <c r="G394" i="1"/>
  <c r="H394" i="1" s="1"/>
  <c r="G395" i="1"/>
  <c r="H395" i="1" s="1"/>
  <c r="G396" i="1"/>
  <c r="G397" i="1"/>
  <c r="H397" i="1" s="1"/>
  <c r="G398" i="1"/>
  <c r="H398" i="1" s="1"/>
  <c r="G399" i="1"/>
  <c r="H399" i="1" s="1"/>
  <c r="G400" i="1"/>
  <c r="H400" i="1" s="1"/>
  <c r="G401" i="1"/>
  <c r="G402" i="1"/>
  <c r="H402" i="1" s="1"/>
  <c r="G403" i="1"/>
  <c r="H403" i="1" s="1"/>
  <c r="G404" i="1"/>
  <c r="G405" i="1"/>
  <c r="H405" i="1" s="1"/>
  <c r="G406" i="1"/>
  <c r="H406" i="1" s="1"/>
  <c r="G407" i="1"/>
  <c r="H407" i="1" s="1"/>
  <c r="G408" i="1"/>
  <c r="H408" i="1" s="1"/>
  <c r="G409" i="1"/>
  <c r="G410" i="1"/>
  <c r="H410" i="1" s="1"/>
  <c r="J410" i="1" s="1"/>
  <c r="G411" i="1"/>
  <c r="H411" i="1" s="1"/>
  <c r="G412" i="1"/>
  <c r="G413" i="1"/>
  <c r="H413" i="1" s="1"/>
  <c r="G414" i="1"/>
  <c r="H414" i="1" s="1"/>
  <c r="G415" i="1"/>
  <c r="H415" i="1" s="1"/>
  <c r="G416" i="1"/>
  <c r="H416" i="1" s="1"/>
  <c r="G417" i="1"/>
  <c r="G418" i="1"/>
  <c r="H418" i="1" s="1"/>
  <c r="G419" i="1"/>
  <c r="H419" i="1" s="1"/>
  <c r="G420" i="1"/>
  <c r="G421" i="1"/>
  <c r="H421" i="1" s="1"/>
  <c r="G422" i="1"/>
  <c r="H422" i="1" s="1"/>
  <c r="G423" i="1"/>
  <c r="H423" i="1" s="1"/>
  <c r="G424" i="1"/>
  <c r="H424" i="1" s="1"/>
  <c r="G425" i="1"/>
  <c r="G426" i="1"/>
  <c r="H426" i="1" s="1"/>
  <c r="G427" i="1"/>
  <c r="H427" i="1" s="1"/>
  <c r="G428" i="1"/>
  <c r="G429" i="1"/>
  <c r="H429" i="1" s="1"/>
  <c r="G430" i="1"/>
  <c r="H430" i="1" s="1"/>
  <c r="G431" i="1"/>
  <c r="H431" i="1" s="1"/>
  <c r="G432" i="1"/>
  <c r="H432" i="1" s="1"/>
  <c r="G433" i="1"/>
  <c r="G434" i="1"/>
  <c r="H434" i="1" s="1"/>
  <c r="G435" i="1"/>
  <c r="H435" i="1" s="1"/>
  <c r="G436" i="1"/>
  <c r="G437" i="1"/>
  <c r="H437" i="1" s="1"/>
  <c r="G438" i="1"/>
  <c r="H438" i="1" s="1"/>
  <c r="G439" i="1"/>
  <c r="H439" i="1" s="1"/>
  <c r="G440" i="1"/>
  <c r="H440" i="1" s="1"/>
  <c r="G441" i="1"/>
  <c r="G442" i="1"/>
  <c r="H442" i="1" s="1"/>
  <c r="G443" i="1"/>
  <c r="H443" i="1" s="1"/>
  <c r="G444" i="1"/>
  <c r="G445" i="1"/>
  <c r="H445" i="1" s="1"/>
  <c r="G446" i="1"/>
  <c r="H446" i="1" s="1"/>
  <c r="G447" i="1"/>
  <c r="H447" i="1" s="1"/>
  <c r="G448" i="1"/>
  <c r="H448" i="1" s="1"/>
  <c r="G449" i="1"/>
  <c r="G450" i="1"/>
  <c r="H450" i="1" s="1"/>
  <c r="G451" i="1"/>
  <c r="H451" i="1" s="1"/>
  <c r="G452" i="1"/>
  <c r="G453" i="1"/>
  <c r="H453" i="1" s="1"/>
  <c r="G454" i="1"/>
  <c r="H454" i="1" s="1"/>
  <c r="G455" i="1"/>
  <c r="H455" i="1" s="1"/>
  <c r="G456" i="1"/>
  <c r="H456" i="1" s="1"/>
  <c r="G457" i="1"/>
  <c r="G458" i="1"/>
  <c r="H458" i="1" s="1"/>
  <c r="G459" i="1"/>
  <c r="H459" i="1" s="1"/>
  <c r="G460" i="1"/>
  <c r="G461" i="1"/>
  <c r="H461" i="1" s="1"/>
  <c r="G462" i="1"/>
  <c r="H462" i="1" s="1"/>
  <c r="G463" i="1"/>
  <c r="H463" i="1" s="1"/>
  <c r="G464" i="1"/>
  <c r="H464" i="1" s="1"/>
  <c r="G465" i="1"/>
  <c r="G466" i="1"/>
  <c r="H466" i="1" s="1"/>
  <c r="G467" i="1"/>
  <c r="H467" i="1" s="1"/>
  <c r="G468" i="1"/>
  <c r="G469" i="1"/>
  <c r="H469" i="1" s="1"/>
  <c r="G470" i="1"/>
  <c r="H470" i="1" s="1"/>
  <c r="G471" i="1"/>
  <c r="H471" i="1" s="1"/>
  <c r="G472" i="1"/>
  <c r="H472" i="1" s="1"/>
  <c r="G473" i="1"/>
  <c r="G474" i="1"/>
  <c r="H474" i="1" s="1"/>
  <c r="J474" i="1" s="1"/>
  <c r="G475" i="1"/>
  <c r="H475" i="1" s="1"/>
  <c r="G476" i="1"/>
  <c r="G477" i="1"/>
  <c r="H477" i="1" s="1"/>
  <c r="G478" i="1"/>
  <c r="H478" i="1" s="1"/>
  <c r="G479" i="1"/>
  <c r="H479" i="1" s="1"/>
  <c r="G480" i="1"/>
  <c r="H480" i="1" s="1"/>
  <c r="G481" i="1"/>
  <c r="G482" i="1"/>
  <c r="H482" i="1" s="1"/>
  <c r="G483" i="1"/>
  <c r="H483" i="1" s="1"/>
  <c r="G484" i="1"/>
  <c r="G485" i="1"/>
  <c r="H485" i="1" s="1"/>
  <c r="G486" i="1"/>
  <c r="H486" i="1" s="1"/>
  <c r="G487" i="1"/>
  <c r="H487" i="1" s="1"/>
  <c r="G488" i="1"/>
  <c r="H488" i="1" s="1"/>
  <c r="G489" i="1"/>
  <c r="G490" i="1"/>
  <c r="H490" i="1" s="1"/>
  <c r="G491" i="1"/>
  <c r="H491" i="1" s="1"/>
  <c r="G492" i="1"/>
  <c r="G493" i="1"/>
  <c r="H493" i="1" s="1"/>
  <c r="G494" i="1"/>
  <c r="H494" i="1" s="1"/>
  <c r="G495" i="1"/>
  <c r="H495" i="1" s="1"/>
  <c r="G496" i="1"/>
  <c r="H496" i="1" s="1"/>
  <c r="G497" i="1"/>
  <c r="G498" i="1"/>
  <c r="H498" i="1" s="1"/>
  <c r="G499" i="1"/>
  <c r="H499" i="1" s="1"/>
  <c r="G500" i="1"/>
  <c r="G501" i="1"/>
  <c r="H501" i="1" s="1"/>
  <c r="G502" i="1"/>
  <c r="H502" i="1" s="1"/>
  <c r="G503" i="1"/>
  <c r="H503" i="1" s="1"/>
  <c r="G504" i="1"/>
  <c r="H504" i="1" s="1"/>
  <c r="G505" i="1"/>
  <c r="G506" i="1"/>
  <c r="H506" i="1" s="1"/>
  <c r="G507" i="1"/>
  <c r="H507" i="1" s="1"/>
  <c r="G508" i="1"/>
  <c r="G509" i="1"/>
  <c r="H509" i="1" s="1"/>
  <c r="G510" i="1"/>
  <c r="H510" i="1" s="1"/>
  <c r="G511" i="1"/>
  <c r="H511" i="1" s="1"/>
  <c r="G512" i="1"/>
  <c r="H512" i="1" s="1"/>
  <c r="G513" i="1"/>
  <c r="G514" i="1"/>
  <c r="H514" i="1" s="1"/>
  <c r="G515" i="1"/>
  <c r="H515" i="1" s="1"/>
  <c r="G516" i="1"/>
  <c r="G517" i="1"/>
  <c r="H517" i="1" s="1"/>
  <c r="G518" i="1"/>
  <c r="H518" i="1" s="1"/>
  <c r="G519" i="1"/>
  <c r="H519" i="1" s="1"/>
  <c r="G520" i="1"/>
  <c r="H520" i="1" s="1"/>
  <c r="G521" i="1"/>
  <c r="G522" i="1"/>
  <c r="H522" i="1" s="1"/>
  <c r="G523" i="1"/>
  <c r="H523" i="1" s="1"/>
  <c r="G524" i="1"/>
  <c r="G525" i="1"/>
  <c r="H525" i="1" s="1"/>
  <c r="G526" i="1"/>
  <c r="H526" i="1" s="1"/>
  <c r="G527" i="1"/>
  <c r="H527" i="1" s="1"/>
  <c r="G528" i="1"/>
  <c r="H528" i="1" s="1"/>
  <c r="G529" i="1"/>
  <c r="G530" i="1"/>
  <c r="H530" i="1" s="1"/>
  <c r="G531" i="1"/>
  <c r="H531" i="1" s="1"/>
  <c r="G532" i="1"/>
  <c r="G533" i="1"/>
  <c r="H533" i="1" s="1"/>
  <c r="G534" i="1"/>
  <c r="H534" i="1" s="1"/>
  <c r="G535" i="1"/>
  <c r="H535" i="1" s="1"/>
  <c r="G536" i="1"/>
  <c r="H536" i="1" s="1"/>
  <c r="G537" i="1"/>
  <c r="G538" i="1"/>
  <c r="H538" i="1" s="1"/>
  <c r="J538" i="1" s="1"/>
  <c r="G539" i="1"/>
  <c r="H539" i="1" s="1"/>
  <c r="G540" i="1"/>
  <c r="G541" i="1"/>
  <c r="H541" i="1" s="1"/>
  <c r="G542" i="1"/>
  <c r="H542" i="1" s="1"/>
  <c r="G543" i="1"/>
  <c r="H543" i="1" s="1"/>
  <c r="G544" i="1"/>
  <c r="H544" i="1" s="1"/>
  <c r="G545" i="1"/>
  <c r="G546" i="1"/>
  <c r="H546" i="1" s="1"/>
  <c r="G547" i="1"/>
  <c r="H547" i="1" s="1"/>
  <c r="G548" i="1"/>
  <c r="G549" i="1"/>
  <c r="H549" i="1" s="1"/>
  <c r="G550" i="1"/>
  <c r="H550" i="1" s="1"/>
  <c r="G551" i="1"/>
  <c r="H551" i="1" s="1"/>
  <c r="G552" i="1"/>
  <c r="H552" i="1" s="1"/>
  <c r="G553" i="1"/>
  <c r="G554" i="1"/>
  <c r="H554" i="1" s="1"/>
  <c r="G555" i="1"/>
  <c r="H555" i="1" s="1"/>
  <c r="G556" i="1"/>
  <c r="G557" i="1"/>
  <c r="H557" i="1" s="1"/>
  <c r="G558" i="1"/>
  <c r="H558" i="1" s="1"/>
  <c r="G559" i="1"/>
  <c r="H559" i="1" s="1"/>
  <c r="G560" i="1"/>
  <c r="H560" i="1" s="1"/>
  <c r="G561" i="1"/>
  <c r="G562" i="1"/>
  <c r="H562" i="1" s="1"/>
  <c r="G563" i="1"/>
  <c r="H563" i="1" s="1"/>
  <c r="G564" i="1"/>
  <c r="G565" i="1"/>
  <c r="H565" i="1" s="1"/>
  <c r="G566" i="1"/>
  <c r="H566" i="1" s="1"/>
  <c r="G567" i="1"/>
  <c r="H567" i="1" s="1"/>
  <c r="G568" i="1"/>
  <c r="H568" i="1" s="1"/>
  <c r="G569" i="1"/>
  <c r="G570" i="1"/>
  <c r="H570" i="1" s="1"/>
  <c r="J570" i="1" s="1"/>
  <c r="G571" i="1"/>
  <c r="H571" i="1" s="1"/>
  <c r="G572" i="1"/>
  <c r="G573" i="1"/>
  <c r="H573" i="1" s="1"/>
  <c r="G574" i="1"/>
  <c r="H574" i="1" s="1"/>
  <c r="G575" i="1"/>
  <c r="H575" i="1" s="1"/>
  <c r="G576" i="1"/>
  <c r="H576" i="1" s="1"/>
  <c r="G577" i="1"/>
  <c r="G578" i="1"/>
  <c r="H578" i="1" s="1"/>
  <c r="G579" i="1"/>
  <c r="H579" i="1" s="1"/>
  <c r="G580" i="1"/>
  <c r="G581" i="1"/>
  <c r="H581" i="1" s="1"/>
  <c r="G582" i="1"/>
  <c r="H582" i="1" s="1"/>
  <c r="G583" i="1"/>
  <c r="H583" i="1" s="1"/>
  <c r="G584" i="1"/>
  <c r="H584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G10" i="1"/>
  <c r="H10" i="1" s="1"/>
  <c r="F10" i="1"/>
  <c r="J118" i="1" l="1"/>
  <c r="I118" i="1"/>
  <c r="J131" i="1"/>
  <c r="I131" i="1"/>
  <c r="J67" i="1"/>
  <c r="I67" i="1"/>
  <c r="J584" i="1"/>
  <c r="I584" i="1"/>
  <c r="J576" i="1"/>
  <c r="I576" i="1"/>
  <c r="J568" i="1"/>
  <c r="I568" i="1"/>
  <c r="J560" i="1"/>
  <c r="I560" i="1"/>
  <c r="J552" i="1"/>
  <c r="I552" i="1"/>
  <c r="J544" i="1"/>
  <c r="I544" i="1"/>
  <c r="J536" i="1"/>
  <c r="I536" i="1"/>
  <c r="J528" i="1"/>
  <c r="I528" i="1"/>
  <c r="J520" i="1"/>
  <c r="I520" i="1"/>
  <c r="J512" i="1"/>
  <c r="I512" i="1"/>
  <c r="J504" i="1"/>
  <c r="I504" i="1"/>
  <c r="J496" i="1"/>
  <c r="I496" i="1"/>
  <c r="J488" i="1"/>
  <c r="I488" i="1"/>
  <c r="J480" i="1"/>
  <c r="I480" i="1"/>
  <c r="J472" i="1"/>
  <c r="I472" i="1"/>
  <c r="J464" i="1"/>
  <c r="I464" i="1"/>
  <c r="J456" i="1"/>
  <c r="I456" i="1"/>
  <c r="J448" i="1"/>
  <c r="I448" i="1"/>
  <c r="J440" i="1"/>
  <c r="I440" i="1"/>
  <c r="J432" i="1"/>
  <c r="I432" i="1"/>
  <c r="J424" i="1"/>
  <c r="I424" i="1"/>
  <c r="J416" i="1"/>
  <c r="I416" i="1"/>
  <c r="J408" i="1"/>
  <c r="I408" i="1"/>
  <c r="J400" i="1"/>
  <c r="I400" i="1"/>
  <c r="J392" i="1"/>
  <c r="I392" i="1"/>
  <c r="J384" i="1"/>
  <c r="I384" i="1"/>
  <c r="J376" i="1"/>
  <c r="I376" i="1"/>
  <c r="J368" i="1"/>
  <c r="I368" i="1"/>
  <c r="J360" i="1"/>
  <c r="I360" i="1"/>
  <c r="J352" i="1"/>
  <c r="I352" i="1"/>
  <c r="J344" i="1"/>
  <c r="I344" i="1"/>
  <c r="J336" i="1"/>
  <c r="I336" i="1"/>
  <c r="J328" i="1"/>
  <c r="I328" i="1"/>
  <c r="J320" i="1"/>
  <c r="I320" i="1"/>
  <c r="J312" i="1"/>
  <c r="I312" i="1"/>
  <c r="J304" i="1"/>
  <c r="I304" i="1"/>
  <c r="J296" i="1"/>
  <c r="I296" i="1"/>
  <c r="J288" i="1"/>
  <c r="I288" i="1"/>
  <c r="J280" i="1"/>
  <c r="I280" i="1"/>
  <c r="J272" i="1"/>
  <c r="I272" i="1"/>
  <c r="J264" i="1"/>
  <c r="I264" i="1"/>
  <c r="J256" i="1"/>
  <c r="I256" i="1"/>
  <c r="J248" i="1"/>
  <c r="I248" i="1"/>
  <c r="J240" i="1"/>
  <c r="I240" i="1"/>
  <c r="J232" i="1"/>
  <c r="I232" i="1"/>
  <c r="J224" i="1"/>
  <c r="I224" i="1"/>
  <c r="J216" i="1"/>
  <c r="I216" i="1"/>
  <c r="J208" i="1"/>
  <c r="I208" i="1"/>
  <c r="J200" i="1"/>
  <c r="I200" i="1"/>
  <c r="J192" i="1"/>
  <c r="I192" i="1"/>
  <c r="J184" i="1"/>
  <c r="I184" i="1"/>
  <c r="J176" i="1"/>
  <c r="I176" i="1"/>
  <c r="J168" i="1"/>
  <c r="I168" i="1"/>
  <c r="J160" i="1"/>
  <c r="I160" i="1"/>
  <c r="J152" i="1"/>
  <c r="I152" i="1"/>
  <c r="J144" i="1"/>
  <c r="I144" i="1"/>
  <c r="J572" i="1"/>
  <c r="I572" i="1"/>
  <c r="J540" i="1"/>
  <c r="I540" i="1"/>
  <c r="J508" i="1"/>
  <c r="I508" i="1"/>
  <c r="J476" i="1"/>
  <c r="I476" i="1"/>
  <c r="J444" i="1"/>
  <c r="I444" i="1"/>
  <c r="J412" i="1"/>
  <c r="I412" i="1"/>
  <c r="J380" i="1"/>
  <c r="I380" i="1"/>
  <c r="J348" i="1"/>
  <c r="I348" i="1"/>
  <c r="J316" i="1"/>
  <c r="I316" i="1"/>
  <c r="J284" i="1"/>
  <c r="I284" i="1"/>
  <c r="J252" i="1"/>
  <c r="I252" i="1"/>
  <c r="J220" i="1"/>
  <c r="I220" i="1"/>
  <c r="J188" i="1"/>
  <c r="I188" i="1"/>
  <c r="J156" i="1"/>
  <c r="I156" i="1"/>
  <c r="J51" i="1"/>
  <c r="I51" i="1"/>
  <c r="J583" i="1"/>
  <c r="I583" i="1"/>
  <c r="J575" i="1"/>
  <c r="I575" i="1"/>
  <c r="J567" i="1"/>
  <c r="I567" i="1"/>
  <c r="J559" i="1"/>
  <c r="I559" i="1"/>
  <c r="J551" i="1"/>
  <c r="I551" i="1"/>
  <c r="J543" i="1"/>
  <c r="I543" i="1"/>
  <c r="J535" i="1"/>
  <c r="I535" i="1"/>
  <c r="J527" i="1"/>
  <c r="I527" i="1"/>
  <c r="J519" i="1"/>
  <c r="I519" i="1"/>
  <c r="J511" i="1"/>
  <c r="I511" i="1"/>
  <c r="J503" i="1"/>
  <c r="I503" i="1"/>
  <c r="J495" i="1"/>
  <c r="I495" i="1"/>
  <c r="J487" i="1"/>
  <c r="I487" i="1"/>
  <c r="J479" i="1"/>
  <c r="I479" i="1"/>
  <c r="J471" i="1"/>
  <c r="I471" i="1"/>
  <c r="J463" i="1"/>
  <c r="I463" i="1"/>
  <c r="J455" i="1"/>
  <c r="I455" i="1"/>
  <c r="J447" i="1"/>
  <c r="I447" i="1"/>
  <c r="J439" i="1"/>
  <c r="I439" i="1"/>
  <c r="J431" i="1"/>
  <c r="I431" i="1"/>
  <c r="J423" i="1"/>
  <c r="I423" i="1"/>
  <c r="J415" i="1"/>
  <c r="I415" i="1"/>
  <c r="J407" i="1"/>
  <c r="I407" i="1"/>
  <c r="J399" i="1"/>
  <c r="I399" i="1"/>
  <c r="J391" i="1"/>
  <c r="I391" i="1"/>
  <c r="J383" i="1"/>
  <c r="I383" i="1"/>
  <c r="J375" i="1"/>
  <c r="I375" i="1"/>
  <c r="J367" i="1"/>
  <c r="I367" i="1"/>
  <c r="J359" i="1"/>
  <c r="I359" i="1"/>
  <c r="J351" i="1"/>
  <c r="I351" i="1"/>
  <c r="J343" i="1"/>
  <c r="I343" i="1"/>
  <c r="J335" i="1"/>
  <c r="I335" i="1"/>
  <c r="J327" i="1"/>
  <c r="I327" i="1"/>
  <c r="J319" i="1"/>
  <c r="I319" i="1"/>
  <c r="J311" i="1"/>
  <c r="I311" i="1"/>
  <c r="J303" i="1"/>
  <c r="I303" i="1"/>
  <c r="J295" i="1"/>
  <c r="I295" i="1"/>
  <c r="J287" i="1"/>
  <c r="I287" i="1"/>
  <c r="J279" i="1"/>
  <c r="I279" i="1"/>
  <c r="J271" i="1"/>
  <c r="I271" i="1"/>
  <c r="J263" i="1"/>
  <c r="I263" i="1"/>
  <c r="J255" i="1"/>
  <c r="I255" i="1"/>
  <c r="J247" i="1"/>
  <c r="I247" i="1"/>
  <c r="J239" i="1"/>
  <c r="I239" i="1"/>
  <c r="J231" i="1"/>
  <c r="I231" i="1"/>
  <c r="J223" i="1"/>
  <c r="I223" i="1"/>
  <c r="J215" i="1"/>
  <c r="I215" i="1"/>
  <c r="J207" i="1"/>
  <c r="I207" i="1"/>
  <c r="J199" i="1"/>
  <c r="I199" i="1"/>
  <c r="J191" i="1"/>
  <c r="I191" i="1"/>
  <c r="J183" i="1"/>
  <c r="I183" i="1"/>
  <c r="J175" i="1"/>
  <c r="I175" i="1"/>
  <c r="J167" i="1"/>
  <c r="I167" i="1"/>
  <c r="J159" i="1"/>
  <c r="I159" i="1"/>
  <c r="J151" i="1"/>
  <c r="I151" i="1"/>
  <c r="J143" i="1"/>
  <c r="I143" i="1"/>
  <c r="J135" i="1"/>
  <c r="I135" i="1"/>
  <c r="J569" i="1"/>
  <c r="I569" i="1"/>
  <c r="J537" i="1"/>
  <c r="I537" i="1"/>
  <c r="J505" i="1"/>
  <c r="I505" i="1"/>
  <c r="J473" i="1"/>
  <c r="I473" i="1"/>
  <c r="J441" i="1"/>
  <c r="I441" i="1"/>
  <c r="J409" i="1"/>
  <c r="I409" i="1"/>
  <c r="J377" i="1"/>
  <c r="I377" i="1"/>
  <c r="J345" i="1"/>
  <c r="I345" i="1"/>
  <c r="J313" i="1"/>
  <c r="I313" i="1"/>
  <c r="J106" i="1"/>
  <c r="I106" i="1"/>
  <c r="J574" i="1"/>
  <c r="I574" i="1"/>
  <c r="J558" i="1"/>
  <c r="I558" i="1"/>
  <c r="J542" i="1"/>
  <c r="I542" i="1"/>
  <c r="J518" i="1"/>
  <c r="I518" i="1"/>
  <c r="J502" i="1"/>
  <c r="I502" i="1"/>
  <c r="J486" i="1"/>
  <c r="I486" i="1"/>
  <c r="J470" i="1"/>
  <c r="I470" i="1"/>
  <c r="J454" i="1"/>
  <c r="I454" i="1"/>
  <c r="J438" i="1"/>
  <c r="I438" i="1"/>
  <c r="J430" i="1"/>
  <c r="I430" i="1"/>
  <c r="J422" i="1"/>
  <c r="I422" i="1"/>
  <c r="J414" i="1"/>
  <c r="I414" i="1"/>
  <c r="J406" i="1"/>
  <c r="I406" i="1"/>
  <c r="J390" i="1"/>
  <c r="I390" i="1"/>
  <c r="J382" i="1"/>
  <c r="I382" i="1"/>
  <c r="J374" i="1"/>
  <c r="I374" i="1"/>
  <c r="J366" i="1"/>
  <c r="I366" i="1"/>
  <c r="J358" i="1"/>
  <c r="I358" i="1"/>
  <c r="J350" i="1"/>
  <c r="I350" i="1"/>
  <c r="J342" i="1"/>
  <c r="I342" i="1"/>
  <c r="J334" i="1"/>
  <c r="I334" i="1"/>
  <c r="J326" i="1"/>
  <c r="I326" i="1"/>
  <c r="J318" i="1"/>
  <c r="I318" i="1"/>
  <c r="J310" i="1"/>
  <c r="I310" i="1"/>
  <c r="J302" i="1"/>
  <c r="I302" i="1"/>
  <c r="J294" i="1"/>
  <c r="I294" i="1"/>
  <c r="J286" i="1"/>
  <c r="I286" i="1"/>
  <c r="J278" i="1"/>
  <c r="I278" i="1"/>
  <c r="J270" i="1"/>
  <c r="I270" i="1"/>
  <c r="J262" i="1"/>
  <c r="I262" i="1"/>
  <c r="J254" i="1"/>
  <c r="I254" i="1"/>
  <c r="J246" i="1"/>
  <c r="I246" i="1"/>
  <c r="J238" i="1"/>
  <c r="I238" i="1"/>
  <c r="J230" i="1"/>
  <c r="I230" i="1"/>
  <c r="J222" i="1"/>
  <c r="I222" i="1"/>
  <c r="J214" i="1"/>
  <c r="I214" i="1"/>
  <c r="J206" i="1"/>
  <c r="I206" i="1"/>
  <c r="J198" i="1"/>
  <c r="I198" i="1"/>
  <c r="J190" i="1"/>
  <c r="I190" i="1"/>
  <c r="J182" i="1"/>
  <c r="I182" i="1"/>
  <c r="J174" i="1"/>
  <c r="I174" i="1"/>
  <c r="J166" i="1"/>
  <c r="I166" i="1"/>
  <c r="J158" i="1"/>
  <c r="I158" i="1"/>
  <c r="J150" i="1"/>
  <c r="I150" i="1"/>
  <c r="J142" i="1"/>
  <c r="I142" i="1"/>
  <c r="J134" i="1"/>
  <c r="I134" i="1"/>
  <c r="J126" i="1"/>
  <c r="I126" i="1"/>
  <c r="J110" i="1"/>
  <c r="I110" i="1"/>
  <c r="I102" i="1"/>
  <c r="J102" i="1"/>
  <c r="I94" i="1"/>
  <c r="J94" i="1"/>
  <c r="I86" i="1"/>
  <c r="J86" i="1"/>
  <c r="I78" i="1"/>
  <c r="J78" i="1"/>
  <c r="I70" i="1"/>
  <c r="J70" i="1"/>
  <c r="I62" i="1"/>
  <c r="J62" i="1"/>
  <c r="I54" i="1"/>
  <c r="J54" i="1"/>
  <c r="I46" i="1"/>
  <c r="J46" i="1"/>
  <c r="I38" i="1"/>
  <c r="J38" i="1"/>
  <c r="I30" i="1"/>
  <c r="J30" i="1"/>
  <c r="I22" i="1"/>
  <c r="J22" i="1"/>
  <c r="I14" i="1"/>
  <c r="J14" i="1"/>
  <c r="J564" i="1"/>
  <c r="I564" i="1"/>
  <c r="J532" i="1"/>
  <c r="I532" i="1"/>
  <c r="J500" i="1"/>
  <c r="I500" i="1"/>
  <c r="J468" i="1"/>
  <c r="I468" i="1"/>
  <c r="J436" i="1"/>
  <c r="I436" i="1"/>
  <c r="J404" i="1"/>
  <c r="I404" i="1"/>
  <c r="J372" i="1"/>
  <c r="I372" i="1"/>
  <c r="J340" i="1"/>
  <c r="I340" i="1"/>
  <c r="J308" i="1"/>
  <c r="I308" i="1"/>
  <c r="J276" i="1"/>
  <c r="I276" i="1"/>
  <c r="J244" i="1"/>
  <c r="I244" i="1"/>
  <c r="J212" i="1"/>
  <c r="I212" i="1"/>
  <c r="J180" i="1"/>
  <c r="I180" i="1"/>
  <c r="J148" i="1"/>
  <c r="I148" i="1"/>
  <c r="J28" i="1"/>
  <c r="I28" i="1"/>
  <c r="J582" i="1"/>
  <c r="I582" i="1"/>
  <c r="J566" i="1"/>
  <c r="I566" i="1"/>
  <c r="J550" i="1"/>
  <c r="I550" i="1"/>
  <c r="J534" i="1"/>
  <c r="I534" i="1"/>
  <c r="J526" i="1"/>
  <c r="I526" i="1"/>
  <c r="J510" i="1"/>
  <c r="I510" i="1"/>
  <c r="J494" i="1"/>
  <c r="I494" i="1"/>
  <c r="J478" i="1"/>
  <c r="I478" i="1"/>
  <c r="J462" i="1"/>
  <c r="I462" i="1"/>
  <c r="J446" i="1"/>
  <c r="I446" i="1"/>
  <c r="J398" i="1"/>
  <c r="I398" i="1"/>
  <c r="J581" i="1"/>
  <c r="I581" i="1"/>
  <c r="J573" i="1"/>
  <c r="I573" i="1"/>
  <c r="J565" i="1"/>
  <c r="I565" i="1"/>
  <c r="J557" i="1"/>
  <c r="I557" i="1"/>
  <c r="J549" i="1"/>
  <c r="I549" i="1"/>
  <c r="J541" i="1"/>
  <c r="I541" i="1"/>
  <c r="J533" i="1"/>
  <c r="I533" i="1"/>
  <c r="J525" i="1"/>
  <c r="I525" i="1"/>
  <c r="J517" i="1"/>
  <c r="I517" i="1"/>
  <c r="J509" i="1"/>
  <c r="I509" i="1"/>
  <c r="J501" i="1"/>
  <c r="I501" i="1"/>
  <c r="J493" i="1"/>
  <c r="I493" i="1"/>
  <c r="J485" i="1"/>
  <c r="I485" i="1"/>
  <c r="J477" i="1"/>
  <c r="I477" i="1"/>
  <c r="J469" i="1"/>
  <c r="I469" i="1"/>
  <c r="J461" i="1"/>
  <c r="I461" i="1"/>
  <c r="J453" i="1"/>
  <c r="I453" i="1"/>
  <c r="J445" i="1"/>
  <c r="I445" i="1"/>
  <c r="J437" i="1"/>
  <c r="I437" i="1"/>
  <c r="J429" i="1"/>
  <c r="I429" i="1"/>
  <c r="J421" i="1"/>
  <c r="I421" i="1"/>
  <c r="J413" i="1"/>
  <c r="I413" i="1"/>
  <c r="J405" i="1"/>
  <c r="I405" i="1"/>
  <c r="J397" i="1"/>
  <c r="I397" i="1"/>
  <c r="J389" i="1"/>
  <c r="I389" i="1"/>
  <c r="J381" i="1"/>
  <c r="I381" i="1"/>
  <c r="J373" i="1"/>
  <c r="I373" i="1"/>
  <c r="J365" i="1"/>
  <c r="I365" i="1"/>
  <c r="J357" i="1"/>
  <c r="I357" i="1"/>
  <c r="J349" i="1"/>
  <c r="I349" i="1"/>
  <c r="J341" i="1"/>
  <c r="I341" i="1"/>
  <c r="J333" i="1"/>
  <c r="I333" i="1"/>
  <c r="J325" i="1"/>
  <c r="I325" i="1"/>
  <c r="J317" i="1"/>
  <c r="I317" i="1"/>
  <c r="J309" i="1"/>
  <c r="I309" i="1"/>
  <c r="J301" i="1"/>
  <c r="I301" i="1"/>
  <c r="J293" i="1"/>
  <c r="I293" i="1"/>
  <c r="J285" i="1"/>
  <c r="I285" i="1"/>
  <c r="J277" i="1"/>
  <c r="I277" i="1"/>
  <c r="J269" i="1"/>
  <c r="I269" i="1"/>
  <c r="J261" i="1"/>
  <c r="I261" i="1"/>
  <c r="J253" i="1"/>
  <c r="I253" i="1"/>
  <c r="J245" i="1"/>
  <c r="I245" i="1"/>
  <c r="J237" i="1"/>
  <c r="I237" i="1"/>
  <c r="J229" i="1"/>
  <c r="I229" i="1"/>
  <c r="J221" i="1"/>
  <c r="I221" i="1"/>
  <c r="J213" i="1"/>
  <c r="I213" i="1"/>
  <c r="J205" i="1"/>
  <c r="I205" i="1"/>
  <c r="J197" i="1"/>
  <c r="I197" i="1"/>
  <c r="J189" i="1"/>
  <c r="I189" i="1"/>
  <c r="J181" i="1"/>
  <c r="I181" i="1"/>
  <c r="J173" i="1"/>
  <c r="I173" i="1"/>
  <c r="J165" i="1"/>
  <c r="I165" i="1"/>
  <c r="J157" i="1"/>
  <c r="I157" i="1"/>
  <c r="J149" i="1"/>
  <c r="I149" i="1"/>
  <c r="J141" i="1"/>
  <c r="I141" i="1"/>
  <c r="J133" i="1"/>
  <c r="I133" i="1"/>
  <c r="J561" i="1"/>
  <c r="I561" i="1"/>
  <c r="J529" i="1"/>
  <c r="I529" i="1"/>
  <c r="J497" i="1"/>
  <c r="I497" i="1"/>
  <c r="J465" i="1"/>
  <c r="I465" i="1"/>
  <c r="J433" i="1"/>
  <c r="I433" i="1"/>
  <c r="J401" i="1"/>
  <c r="I401" i="1"/>
  <c r="J369" i="1"/>
  <c r="I369" i="1"/>
  <c r="J337" i="1"/>
  <c r="I337" i="1"/>
  <c r="J305" i="1"/>
  <c r="I305" i="1"/>
  <c r="J92" i="1"/>
  <c r="I92" i="1"/>
  <c r="J132" i="1"/>
  <c r="I132" i="1"/>
  <c r="J124" i="1"/>
  <c r="I124" i="1"/>
  <c r="J116" i="1"/>
  <c r="I116" i="1"/>
  <c r="J108" i="1"/>
  <c r="I108" i="1"/>
  <c r="J84" i="1"/>
  <c r="I84" i="1"/>
  <c r="J76" i="1"/>
  <c r="I76" i="1"/>
  <c r="J68" i="1"/>
  <c r="I68" i="1"/>
  <c r="J52" i="1"/>
  <c r="I52" i="1"/>
  <c r="J36" i="1"/>
  <c r="I36" i="1"/>
  <c r="J20" i="1"/>
  <c r="I20" i="1"/>
  <c r="J12" i="1"/>
  <c r="I12" i="1"/>
  <c r="J556" i="1"/>
  <c r="I556" i="1"/>
  <c r="J524" i="1"/>
  <c r="I524" i="1"/>
  <c r="J492" i="1"/>
  <c r="I492" i="1"/>
  <c r="J460" i="1"/>
  <c r="I460" i="1"/>
  <c r="J428" i="1"/>
  <c r="I428" i="1"/>
  <c r="J396" i="1"/>
  <c r="I396" i="1"/>
  <c r="J364" i="1"/>
  <c r="I364" i="1"/>
  <c r="J332" i="1"/>
  <c r="I332" i="1"/>
  <c r="J300" i="1"/>
  <c r="I300" i="1"/>
  <c r="J268" i="1"/>
  <c r="I268" i="1"/>
  <c r="J236" i="1"/>
  <c r="I236" i="1"/>
  <c r="J204" i="1"/>
  <c r="I204" i="1"/>
  <c r="J172" i="1"/>
  <c r="I172" i="1"/>
  <c r="J140" i="1"/>
  <c r="I140" i="1"/>
  <c r="I538" i="1"/>
  <c r="J579" i="1"/>
  <c r="I579" i="1"/>
  <c r="J555" i="1"/>
  <c r="I555" i="1"/>
  <c r="J523" i="1"/>
  <c r="I523" i="1"/>
  <c r="J499" i="1"/>
  <c r="I499" i="1"/>
  <c r="J475" i="1"/>
  <c r="I475" i="1"/>
  <c r="J451" i="1"/>
  <c r="I451" i="1"/>
  <c r="J419" i="1"/>
  <c r="I419" i="1"/>
  <c r="J395" i="1"/>
  <c r="I395" i="1"/>
  <c r="J371" i="1"/>
  <c r="I371" i="1"/>
  <c r="J363" i="1"/>
  <c r="I363" i="1"/>
  <c r="J347" i="1"/>
  <c r="I347" i="1"/>
  <c r="J339" i="1"/>
  <c r="I339" i="1"/>
  <c r="J331" i="1"/>
  <c r="I331" i="1"/>
  <c r="J323" i="1"/>
  <c r="I323" i="1"/>
  <c r="J315" i="1"/>
  <c r="I315" i="1"/>
  <c r="J307" i="1"/>
  <c r="I307" i="1"/>
  <c r="J299" i="1"/>
  <c r="I299" i="1"/>
  <c r="J291" i="1"/>
  <c r="I291" i="1"/>
  <c r="J267" i="1"/>
  <c r="I267" i="1"/>
  <c r="J259" i="1"/>
  <c r="I259" i="1"/>
  <c r="J251" i="1"/>
  <c r="I251" i="1"/>
  <c r="J243" i="1"/>
  <c r="I243" i="1"/>
  <c r="J235" i="1"/>
  <c r="I235" i="1"/>
  <c r="J227" i="1"/>
  <c r="I227" i="1"/>
  <c r="J219" i="1"/>
  <c r="I219" i="1"/>
  <c r="J211" i="1"/>
  <c r="I211" i="1"/>
  <c r="J203" i="1"/>
  <c r="I203" i="1"/>
  <c r="J195" i="1"/>
  <c r="I195" i="1"/>
  <c r="J187" i="1"/>
  <c r="I187" i="1"/>
  <c r="J179" i="1"/>
  <c r="I179" i="1"/>
  <c r="J171" i="1"/>
  <c r="I171" i="1"/>
  <c r="J163" i="1"/>
  <c r="I163" i="1"/>
  <c r="J155" i="1"/>
  <c r="I155" i="1"/>
  <c r="J147" i="1"/>
  <c r="I147" i="1"/>
  <c r="J139" i="1"/>
  <c r="I139" i="1"/>
  <c r="J123" i="1"/>
  <c r="I123" i="1"/>
  <c r="J115" i="1"/>
  <c r="I115" i="1"/>
  <c r="J107" i="1"/>
  <c r="I107" i="1"/>
  <c r="J99" i="1"/>
  <c r="I99" i="1"/>
  <c r="J91" i="1"/>
  <c r="I91" i="1"/>
  <c r="J83" i="1"/>
  <c r="I83" i="1"/>
  <c r="J75" i="1"/>
  <c r="I75" i="1"/>
  <c r="J59" i="1"/>
  <c r="I59" i="1"/>
  <c r="J43" i="1"/>
  <c r="I43" i="1"/>
  <c r="J35" i="1"/>
  <c r="I35" i="1"/>
  <c r="J27" i="1"/>
  <c r="I27" i="1"/>
  <c r="J19" i="1"/>
  <c r="I19" i="1"/>
  <c r="J11" i="1"/>
  <c r="I11" i="1"/>
  <c r="J553" i="1"/>
  <c r="I553" i="1"/>
  <c r="J521" i="1"/>
  <c r="I521" i="1"/>
  <c r="J489" i="1"/>
  <c r="I489" i="1"/>
  <c r="J457" i="1"/>
  <c r="I457" i="1"/>
  <c r="J425" i="1"/>
  <c r="I425" i="1"/>
  <c r="J393" i="1"/>
  <c r="I393" i="1"/>
  <c r="J361" i="1"/>
  <c r="I361" i="1"/>
  <c r="J329" i="1"/>
  <c r="I329" i="1"/>
  <c r="J297" i="1"/>
  <c r="I297" i="1"/>
  <c r="I81" i="1"/>
  <c r="J81" i="1"/>
  <c r="I474" i="1"/>
  <c r="J563" i="1"/>
  <c r="I563" i="1"/>
  <c r="J531" i="1"/>
  <c r="I531" i="1"/>
  <c r="J507" i="1"/>
  <c r="I507" i="1"/>
  <c r="J483" i="1"/>
  <c r="I483" i="1"/>
  <c r="J459" i="1"/>
  <c r="I459" i="1"/>
  <c r="J435" i="1"/>
  <c r="I435" i="1"/>
  <c r="J411" i="1"/>
  <c r="I411" i="1"/>
  <c r="J387" i="1"/>
  <c r="I387" i="1"/>
  <c r="J283" i="1"/>
  <c r="I283" i="1"/>
  <c r="J578" i="1"/>
  <c r="I578" i="1"/>
  <c r="J514" i="1"/>
  <c r="I514" i="1"/>
  <c r="J490" i="1"/>
  <c r="I490" i="1"/>
  <c r="J482" i="1"/>
  <c r="I482" i="1"/>
  <c r="J466" i="1"/>
  <c r="I466" i="1"/>
  <c r="J450" i="1"/>
  <c r="I450" i="1"/>
  <c r="J434" i="1"/>
  <c r="I434" i="1"/>
  <c r="J426" i="1"/>
  <c r="I426" i="1"/>
  <c r="J418" i="1"/>
  <c r="I418" i="1"/>
  <c r="J402" i="1"/>
  <c r="I402" i="1"/>
  <c r="J394" i="1"/>
  <c r="I394" i="1"/>
  <c r="J386" i="1"/>
  <c r="I386" i="1"/>
  <c r="J378" i="1"/>
  <c r="I378" i="1"/>
  <c r="J370" i="1"/>
  <c r="I370" i="1"/>
  <c r="J362" i="1"/>
  <c r="I362" i="1"/>
  <c r="J354" i="1"/>
  <c r="I354" i="1"/>
  <c r="J338" i="1"/>
  <c r="I338" i="1"/>
  <c r="J330" i="1"/>
  <c r="I330" i="1"/>
  <c r="J322" i="1"/>
  <c r="I322" i="1"/>
  <c r="J314" i="1"/>
  <c r="I314" i="1"/>
  <c r="J306" i="1"/>
  <c r="I306" i="1"/>
  <c r="J298" i="1"/>
  <c r="I298" i="1"/>
  <c r="J290" i="1"/>
  <c r="I290" i="1"/>
  <c r="J274" i="1"/>
  <c r="I274" i="1"/>
  <c r="J266" i="1"/>
  <c r="I266" i="1"/>
  <c r="J258" i="1"/>
  <c r="I258" i="1"/>
  <c r="J250" i="1"/>
  <c r="I250" i="1"/>
  <c r="J242" i="1"/>
  <c r="I242" i="1"/>
  <c r="J234" i="1"/>
  <c r="I234" i="1"/>
  <c r="J226" i="1"/>
  <c r="I226" i="1"/>
  <c r="J218" i="1"/>
  <c r="I218" i="1"/>
  <c r="J210" i="1"/>
  <c r="I210" i="1"/>
  <c r="J202" i="1"/>
  <c r="I202" i="1"/>
  <c r="J194" i="1"/>
  <c r="I194" i="1"/>
  <c r="J186" i="1"/>
  <c r="I186" i="1"/>
  <c r="J178" i="1"/>
  <c r="I178" i="1"/>
  <c r="J170" i="1"/>
  <c r="I170" i="1"/>
  <c r="J162" i="1"/>
  <c r="I162" i="1"/>
  <c r="J154" i="1"/>
  <c r="I154" i="1"/>
  <c r="J146" i="1"/>
  <c r="I146" i="1"/>
  <c r="J138" i="1"/>
  <c r="I138" i="1"/>
  <c r="J130" i="1"/>
  <c r="I130" i="1"/>
  <c r="J122" i="1"/>
  <c r="I122" i="1"/>
  <c r="I98" i="1"/>
  <c r="J98" i="1"/>
  <c r="I90" i="1"/>
  <c r="J90" i="1"/>
  <c r="I82" i="1"/>
  <c r="J82" i="1"/>
  <c r="I74" i="1"/>
  <c r="J74" i="1"/>
  <c r="I66" i="1"/>
  <c r="J66" i="1"/>
  <c r="I58" i="1"/>
  <c r="J58" i="1"/>
  <c r="I50" i="1"/>
  <c r="J50" i="1"/>
  <c r="J580" i="1"/>
  <c r="I580" i="1"/>
  <c r="J548" i="1"/>
  <c r="I548" i="1"/>
  <c r="J516" i="1"/>
  <c r="I516" i="1"/>
  <c r="J484" i="1"/>
  <c r="I484" i="1"/>
  <c r="J452" i="1"/>
  <c r="I452" i="1"/>
  <c r="J420" i="1"/>
  <c r="I420" i="1"/>
  <c r="J388" i="1"/>
  <c r="I388" i="1"/>
  <c r="J356" i="1"/>
  <c r="I356" i="1"/>
  <c r="J324" i="1"/>
  <c r="I324" i="1"/>
  <c r="J292" i="1"/>
  <c r="I292" i="1"/>
  <c r="J260" i="1"/>
  <c r="I260" i="1"/>
  <c r="J228" i="1"/>
  <c r="I228" i="1"/>
  <c r="J196" i="1"/>
  <c r="I196" i="1"/>
  <c r="J164" i="1"/>
  <c r="I164" i="1"/>
  <c r="I410" i="1"/>
  <c r="J571" i="1"/>
  <c r="I571" i="1"/>
  <c r="J547" i="1"/>
  <c r="I547" i="1"/>
  <c r="J539" i="1"/>
  <c r="I539" i="1"/>
  <c r="J515" i="1"/>
  <c r="I515" i="1"/>
  <c r="J491" i="1"/>
  <c r="I491" i="1"/>
  <c r="J467" i="1"/>
  <c r="I467" i="1"/>
  <c r="J443" i="1"/>
  <c r="I443" i="1"/>
  <c r="J427" i="1"/>
  <c r="I427" i="1"/>
  <c r="J403" i="1"/>
  <c r="I403" i="1"/>
  <c r="J379" i="1"/>
  <c r="I379" i="1"/>
  <c r="J355" i="1"/>
  <c r="I355" i="1"/>
  <c r="J275" i="1"/>
  <c r="I275" i="1"/>
  <c r="J562" i="1"/>
  <c r="I562" i="1"/>
  <c r="J554" i="1"/>
  <c r="I554" i="1"/>
  <c r="J546" i="1"/>
  <c r="I546" i="1"/>
  <c r="I530" i="1"/>
  <c r="J530" i="1"/>
  <c r="J522" i="1"/>
  <c r="I522" i="1"/>
  <c r="J506" i="1"/>
  <c r="I506" i="1"/>
  <c r="J498" i="1"/>
  <c r="I498" i="1"/>
  <c r="J458" i="1"/>
  <c r="I458" i="1"/>
  <c r="J442" i="1"/>
  <c r="I442" i="1"/>
  <c r="J282" i="1"/>
  <c r="I282" i="1"/>
  <c r="J129" i="1"/>
  <c r="I129" i="1"/>
  <c r="J121" i="1"/>
  <c r="I121" i="1"/>
  <c r="I113" i="1"/>
  <c r="J113" i="1"/>
  <c r="I105" i="1"/>
  <c r="J105" i="1"/>
  <c r="I97" i="1"/>
  <c r="J97" i="1"/>
  <c r="I73" i="1"/>
  <c r="J73" i="1"/>
  <c r="J577" i="1"/>
  <c r="I577" i="1"/>
  <c r="J545" i="1"/>
  <c r="I545" i="1"/>
  <c r="J513" i="1"/>
  <c r="I513" i="1"/>
  <c r="J481" i="1"/>
  <c r="I481" i="1"/>
  <c r="J449" i="1"/>
  <c r="I449" i="1"/>
  <c r="J417" i="1"/>
  <c r="I417" i="1"/>
  <c r="J385" i="1"/>
  <c r="I385" i="1"/>
  <c r="J353" i="1"/>
  <c r="I353" i="1"/>
  <c r="J321" i="1"/>
  <c r="I321" i="1"/>
  <c r="J289" i="1"/>
  <c r="I289" i="1"/>
  <c r="I346" i="1"/>
  <c r="J125" i="1"/>
  <c r="I125" i="1"/>
  <c r="J117" i="1"/>
  <c r="I117" i="1"/>
  <c r="I109" i="1"/>
  <c r="J109" i="1"/>
  <c r="I101" i="1"/>
  <c r="J101" i="1"/>
  <c r="I93" i="1"/>
  <c r="J93" i="1"/>
  <c r="I85" i="1"/>
  <c r="J85" i="1"/>
  <c r="I77" i="1"/>
  <c r="J77" i="1"/>
  <c r="I69" i="1"/>
  <c r="J69" i="1"/>
  <c r="I61" i="1"/>
  <c r="J61" i="1"/>
  <c r="I53" i="1"/>
  <c r="J53" i="1"/>
  <c r="I45" i="1"/>
  <c r="J45" i="1"/>
  <c r="I37" i="1"/>
  <c r="J37" i="1"/>
  <c r="I29" i="1"/>
  <c r="J29" i="1"/>
  <c r="I21" i="1"/>
  <c r="J21" i="1"/>
  <c r="I13" i="1"/>
  <c r="J13" i="1"/>
  <c r="J281" i="1"/>
  <c r="I281" i="1"/>
  <c r="J249" i="1"/>
  <c r="I249" i="1"/>
  <c r="J217" i="1"/>
  <c r="I217" i="1"/>
  <c r="J185" i="1"/>
  <c r="I185" i="1"/>
  <c r="J161" i="1"/>
  <c r="I161" i="1"/>
  <c r="J137" i="1"/>
  <c r="I137" i="1"/>
  <c r="J100" i="1"/>
  <c r="I100" i="1"/>
  <c r="J44" i="1"/>
  <c r="I44" i="1"/>
  <c r="I42" i="1"/>
  <c r="J42" i="1"/>
  <c r="I34" i="1"/>
  <c r="J34" i="1"/>
  <c r="I26" i="1"/>
  <c r="J26" i="1"/>
  <c r="I18" i="1"/>
  <c r="J18" i="1"/>
  <c r="J273" i="1"/>
  <c r="I273" i="1"/>
  <c r="J241" i="1"/>
  <c r="I241" i="1"/>
  <c r="J209" i="1"/>
  <c r="I209" i="1"/>
  <c r="J177" i="1"/>
  <c r="I177" i="1"/>
  <c r="J145" i="1"/>
  <c r="I145" i="1"/>
  <c r="J60" i="1"/>
  <c r="I60" i="1"/>
  <c r="I65" i="1"/>
  <c r="J65" i="1"/>
  <c r="I57" i="1"/>
  <c r="J57" i="1"/>
  <c r="I49" i="1"/>
  <c r="J49" i="1"/>
  <c r="I41" i="1"/>
  <c r="J41" i="1"/>
  <c r="I33" i="1"/>
  <c r="J33" i="1"/>
  <c r="I25" i="1"/>
  <c r="J25" i="1"/>
  <c r="I17" i="1"/>
  <c r="J17" i="1"/>
  <c r="I114" i="1"/>
  <c r="J265" i="1"/>
  <c r="I265" i="1"/>
  <c r="J225" i="1"/>
  <c r="I225" i="1"/>
  <c r="J193" i="1"/>
  <c r="I193" i="1"/>
  <c r="J153" i="1"/>
  <c r="I153" i="1"/>
  <c r="J136" i="1"/>
  <c r="I136" i="1"/>
  <c r="J128" i="1"/>
  <c r="I128" i="1"/>
  <c r="J120" i="1"/>
  <c r="I120" i="1"/>
  <c r="I112" i="1"/>
  <c r="J112" i="1"/>
  <c r="I104" i="1"/>
  <c r="J104" i="1"/>
  <c r="I96" i="1"/>
  <c r="J96" i="1"/>
  <c r="I88" i="1"/>
  <c r="J88" i="1"/>
  <c r="I80" i="1"/>
  <c r="J80" i="1"/>
  <c r="I72" i="1"/>
  <c r="J72" i="1"/>
  <c r="I64" i="1"/>
  <c r="J64" i="1"/>
  <c r="I56" i="1"/>
  <c r="J56" i="1"/>
  <c r="I48" i="1"/>
  <c r="J48" i="1"/>
  <c r="I40" i="1"/>
  <c r="J40" i="1"/>
  <c r="I32" i="1"/>
  <c r="J32" i="1"/>
  <c r="I24" i="1"/>
  <c r="J24" i="1"/>
  <c r="I16" i="1"/>
  <c r="J16" i="1"/>
  <c r="J257" i="1"/>
  <c r="I257" i="1"/>
  <c r="J233" i="1"/>
  <c r="I233" i="1"/>
  <c r="J201" i="1"/>
  <c r="I201" i="1"/>
  <c r="J169" i="1"/>
  <c r="I169" i="1"/>
  <c r="I89" i="1"/>
  <c r="J89" i="1"/>
  <c r="J127" i="1"/>
  <c r="I127" i="1"/>
  <c r="J119" i="1"/>
  <c r="I119" i="1"/>
  <c r="J111" i="1"/>
  <c r="I111" i="1"/>
  <c r="I103" i="1"/>
  <c r="J103" i="1"/>
  <c r="I95" i="1"/>
  <c r="J95" i="1"/>
  <c r="I87" i="1"/>
  <c r="J87" i="1"/>
  <c r="I79" i="1"/>
  <c r="J79" i="1"/>
  <c r="I71" i="1"/>
  <c r="J71" i="1"/>
  <c r="I63" i="1"/>
  <c r="J63" i="1"/>
  <c r="I55" i="1"/>
  <c r="J55" i="1"/>
  <c r="I47" i="1"/>
  <c r="J47" i="1"/>
  <c r="I39" i="1"/>
  <c r="J39" i="1"/>
  <c r="I31" i="1"/>
  <c r="J31" i="1"/>
  <c r="I23" i="1"/>
  <c r="J23" i="1"/>
  <c r="I15" i="1"/>
  <c r="J15" i="1"/>
  <c r="J10" i="1"/>
  <c r="I10" i="1"/>
</calcChain>
</file>

<file path=xl/sharedStrings.xml><?xml version="1.0" encoding="utf-8"?>
<sst xmlns="http://schemas.openxmlformats.org/spreadsheetml/2006/main" count="1172" uniqueCount="597">
  <si>
    <t>Date</t>
  </si>
  <si>
    <t>Heure</t>
  </si>
  <si>
    <t>Température</t>
  </si>
  <si>
    <t>Humidité</t>
  </si>
  <si>
    <t>Point de Rosée</t>
  </si>
  <si>
    <t>27/06/2024</t>
  </si>
  <si>
    <t>11:16:01</t>
  </si>
  <si>
    <t>11:16:21</t>
  </si>
  <si>
    <t>11:16:41</t>
  </si>
  <si>
    <t>11:17:01</t>
  </si>
  <si>
    <t>11:17:21</t>
  </si>
  <si>
    <t>11:17:41</t>
  </si>
  <si>
    <t>11:18:01</t>
  </si>
  <si>
    <t>11:18:21</t>
  </si>
  <si>
    <t>11:18:41</t>
  </si>
  <si>
    <t>11:19:01</t>
  </si>
  <si>
    <t>11:19:21</t>
  </si>
  <si>
    <t>11:19:41</t>
  </si>
  <si>
    <t>11:20:01</t>
  </si>
  <si>
    <t>11:20:21</t>
  </si>
  <si>
    <t>11:20:41</t>
  </si>
  <si>
    <t>11:21:01</t>
  </si>
  <si>
    <t>11:21:21</t>
  </si>
  <si>
    <t>11:21:41</t>
  </si>
  <si>
    <t>11:22:01</t>
  </si>
  <si>
    <t>11:22:21</t>
  </si>
  <si>
    <t>11:22:41</t>
  </si>
  <si>
    <t>11:23:01</t>
  </si>
  <si>
    <t>11:23:21</t>
  </si>
  <si>
    <t>11:23:41</t>
  </si>
  <si>
    <t>11:24:01</t>
  </si>
  <si>
    <t>11:24:21</t>
  </si>
  <si>
    <t>11:24:41</t>
  </si>
  <si>
    <t>11:25:01</t>
  </si>
  <si>
    <t>11:25:21</t>
  </si>
  <si>
    <t>11:25:41</t>
  </si>
  <si>
    <t>11:26:01</t>
  </si>
  <si>
    <t>11:26:21</t>
  </si>
  <si>
    <t>11:26:41</t>
  </si>
  <si>
    <t>11:27:01</t>
  </si>
  <si>
    <t>11:27:21</t>
  </si>
  <si>
    <t>11:27:41</t>
  </si>
  <si>
    <t>11:28:01</t>
  </si>
  <si>
    <t>11:28:21</t>
  </si>
  <si>
    <t>11:28:41</t>
  </si>
  <si>
    <t>11:29:01</t>
  </si>
  <si>
    <t>11:29:21</t>
  </si>
  <si>
    <t>11:29:41</t>
  </si>
  <si>
    <t>11:30:01</t>
  </si>
  <si>
    <t>11:30:21</t>
  </si>
  <si>
    <t>11:30:41</t>
  </si>
  <si>
    <t>11:31:01</t>
  </si>
  <si>
    <t>11:31:21</t>
  </si>
  <si>
    <t>11:31:41</t>
  </si>
  <si>
    <t>11:32:01</t>
  </si>
  <si>
    <t>11:32:21</t>
  </si>
  <si>
    <t>11:32:41</t>
  </si>
  <si>
    <t>11:33:01</t>
  </si>
  <si>
    <t>11:33:21</t>
  </si>
  <si>
    <t>11:33:41</t>
  </si>
  <si>
    <t>11:34:01</t>
  </si>
  <si>
    <t>11:34:21</t>
  </si>
  <si>
    <t>11:34:41</t>
  </si>
  <si>
    <t>11:35:01</t>
  </si>
  <si>
    <t>11:35:21</t>
  </si>
  <si>
    <t>11:35:41</t>
  </si>
  <si>
    <t>11:36:01</t>
  </si>
  <si>
    <t>11:36:21</t>
  </si>
  <si>
    <t>11:36:41</t>
  </si>
  <si>
    <t>11:37:01</t>
  </si>
  <si>
    <t>11:37:21</t>
  </si>
  <si>
    <t>11:37:41</t>
  </si>
  <si>
    <t>11:38:01</t>
  </si>
  <si>
    <t>11:38:21</t>
  </si>
  <si>
    <t>11:38:41</t>
  </si>
  <si>
    <t>11:39:01</t>
  </si>
  <si>
    <t>11:39:21</t>
  </si>
  <si>
    <t>11:39:41</t>
  </si>
  <si>
    <t>11:40:01</t>
  </si>
  <si>
    <t>11:40:21</t>
  </si>
  <si>
    <t>11:40:41</t>
  </si>
  <si>
    <t>11:41:01</t>
  </si>
  <si>
    <t>11:41:21</t>
  </si>
  <si>
    <t>11:41:41</t>
  </si>
  <si>
    <t>11:42:01</t>
  </si>
  <si>
    <t>11:42:21</t>
  </si>
  <si>
    <t>11:42:41</t>
  </si>
  <si>
    <t>11:43:01</t>
  </si>
  <si>
    <t>11:43:21</t>
  </si>
  <si>
    <t>11:43:41</t>
  </si>
  <si>
    <t>11:44:01</t>
  </si>
  <si>
    <t>11:44:21</t>
  </si>
  <si>
    <t>11:44:41</t>
  </si>
  <si>
    <t>11:45:01</t>
  </si>
  <si>
    <t>11:45:21</t>
  </si>
  <si>
    <t>11:45:41</t>
  </si>
  <si>
    <t>11:46:01</t>
  </si>
  <si>
    <t>11:46:21</t>
  </si>
  <si>
    <t>11:46:41</t>
  </si>
  <si>
    <t>11:47:01</t>
  </si>
  <si>
    <t>11:47:21</t>
  </si>
  <si>
    <t>11:47:41</t>
  </si>
  <si>
    <t>11:48:01</t>
  </si>
  <si>
    <t>11:48:21</t>
  </si>
  <si>
    <t>11:48:41</t>
  </si>
  <si>
    <t>11:49:01</t>
  </si>
  <si>
    <t>11:49:21</t>
  </si>
  <si>
    <t>11:49:41</t>
  </si>
  <si>
    <t>11:50:01</t>
  </si>
  <si>
    <t>11:50:21</t>
  </si>
  <si>
    <t>11:50:41</t>
  </si>
  <si>
    <t>11:51:01</t>
  </si>
  <si>
    <t>11:51:21</t>
  </si>
  <si>
    <t>11:51:41</t>
  </si>
  <si>
    <t>11:52:01</t>
  </si>
  <si>
    <t>11:52:21</t>
  </si>
  <si>
    <t>11:52:41</t>
  </si>
  <si>
    <t>11:53:01</t>
  </si>
  <si>
    <t>11:53:21</t>
  </si>
  <si>
    <t>11:53:41</t>
  </si>
  <si>
    <t>11:54:01</t>
  </si>
  <si>
    <t>11:54:21</t>
  </si>
  <si>
    <t>11:54:41</t>
  </si>
  <si>
    <t>11:55:01</t>
  </si>
  <si>
    <t>11:55:21</t>
  </si>
  <si>
    <t>11:55:41</t>
  </si>
  <si>
    <t>11:56:01</t>
  </si>
  <si>
    <t>11:56:21</t>
  </si>
  <si>
    <t>11:56:41</t>
  </si>
  <si>
    <t>11:57:01</t>
  </si>
  <si>
    <t>11:57:21</t>
  </si>
  <si>
    <t>11:57:41</t>
  </si>
  <si>
    <t>11:58:01</t>
  </si>
  <si>
    <t>11:58:21</t>
  </si>
  <si>
    <t>11:58:41</t>
  </si>
  <si>
    <t>11:59:01</t>
  </si>
  <si>
    <t>11:59:21</t>
  </si>
  <si>
    <t>11:59:41</t>
  </si>
  <si>
    <t>12:00:01</t>
  </si>
  <si>
    <t>12:00:21</t>
  </si>
  <si>
    <t>12:00:41</t>
  </si>
  <si>
    <t>12:01:01</t>
  </si>
  <si>
    <t>12:01:21</t>
  </si>
  <si>
    <t>12:01:41</t>
  </si>
  <si>
    <t>12:02:01</t>
  </si>
  <si>
    <t>12:02:21</t>
  </si>
  <si>
    <t>12:02:41</t>
  </si>
  <si>
    <t>12:03:01</t>
  </si>
  <si>
    <t>12:03:21</t>
  </si>
  <si>
    <t>12:03:41</t>
  </si>
  <si>
    <t>12:04:01</t>
  </si>
  <si>
    <t>12:04:21</t>
  </si>
  <si>
    <t>12:04:41</t>
  </si>
  <si>
    <t>12:05:01</t>
  </si>
  <si>
    <t>12:05:21</t>
  </si>
  <si>
    <t>12:05:41</t>
  </si>
  <si>
    <t>12:06:01</t>
  </si>
  <si>
    <t>12:06:21</t>
  </si>
  <si>
    <t>12:06:41</t>
  </si>
  <si>
    <t>12:07:01</t>
  </si>
  <si>
    <t>12:07:21</t>
  </si>
  <si>
    <t>12:07:41</t>
  </si>
  <si>
    <t>12:08:01</t>
  </si>
  <si>
    <t>12:08:21</t>
  </si>
  <si>
    <t>12:08:41</t>
  </si>
  <si>
    <t>12:09:01</t>
  </si>
  <si>
    <t>12:09:21</t>
  </si>
  <si>
    <t>12:09:41</t>
  </si>
  <si>
    <t>12:10:01</t>
  </si>
  <si>
    <t>12:10:21</t>
  </si>
  <si>
    <t>12:10:41</t>
  </si>
  <si>
    <t>12:11:01</t>
  </si>
  <si>
    <t>12:11:21</t>
  </si>
  <si>
    <t>12:11:41</t>
  </si>
  <si>
    <t>12:12:01</t>
  </si>
  <si>
    <t>12:12:21</t>
  </si>
  <si>
    <t>12:12:41</t>
  </si>
  <si>
    <t>12:13:01</t>
  </si>
  <si>
    <t>12:13:21</t>
  </si>
  <si>
    <t>12:13:41</t>
  </si>
  <si>
    <t>12:14:01</t>
  </si>
  <si>
    <t>12:14:21</t>
  </si>
  <si>
    <t>12:14:41</t>
  </si>
  <si>
    <t>12:15:01</t>
  </si>
  <si>
    <t>12:15:21</t>
  </si>
  <si>
    <t>12:15:41</t>
  </si>
  <si>
    <t>12:16:01</t>
  </si>
  <si>
    <t>12:16:21</t>
  </si>
  <si>
    <t>12:16:41</t>
  </si>
  <si>
    <t>12:17:01</t>
  </si>
  <si>
    <t>12:17:21</t>
  </si>
  <si>
    <t>12:17:41</t>
  </si>
  <si>
    <t>12:18:01</t>
  </si>
  <si>
    <t>12:18:21</t>
  </si>
  <si>
    <t>12:18:41</t>
  </si>
  <si>
    <t>12:19:01</t>
  </si>
  <si>
    <t>12:19:21</t>
  </si>
  <si>
    <t>12:19:41</t>
  </si>
  <si>
    <t>12:20:01</t>
  </si>
  <si>
    <t>12:20:21</t>
  </si>
  <si>
    <t>12:20:41</t>
  </si>
  <si>
    <t>12:21:01</t>
  </si>
  <si>
    <t>12:21:21</t>
  </si>
  <si>
    <t>12:21:41</t>
  </si>
  <si>
    <t>12:22:01</t>
  </si>
  <si>
    <t>12:22:21</t>
  </si>
  <si>
    <t>12:22:41</t>
  </si>
  <si>
    <t>12:23:01</t>
  </si>
  <si>
    <t>12:23:21</t>
  </si>
  <si>
    <t>12:23:41</t>
  </si>
  <si>
    <t>12:24:01</t>
  </si>
  <si>
    <t>12:24:21</t>
  </si>
  <si>
    <t>12:24:41</t>
  </si>
  <si>
    <t>12:25:01</t>
  </si>
  <si>
    <t>12:25:21</t>
  </si>
  <si>
    <t>12:25:41</t>
  </si>
  <si>
    <t>12:26:01</t>
  </si>
  <si>
    <t>12:26:21</t>
  </si>
  <si>
    <t>12:26:41</t>
  </si>
  <si>
    <t>12:27:01</t>
  </si>
  <si>
    <t>12:27:21</t>
  </si>
  <si>
    <t>12:27:41</t>
  </si>
  <si>
    <t>12:28:01</t>
  </si>
  <si>
    <t>12:28:21</t>
  </si>
  <si>
    <t>12:28:41</t>
  </si>
  <si>
    <t>12:29:01</t>
  </si>
  <si>
    <t>12:29:21</t>
  </si>
  <si>
    <t>12:29:41</t>
  </si>
  <si>
    <t>12:30:01</t>
  </si>
  <si>
    <t>12:30:21</t>
  </si>
  <si>
    <t>12:30:41</t>
  </si>
  <si>
    <t>12:31:01</t>
  </si>
  <si>
    <t>12:31:21</t>
  </si>
  <si>
    <t>12:31:41</t>
  </si>
  <si>
    <t>12:32:01</t>
  </si>
  <si>
    <t>12:32:21</t>
  </si>
  <si>
    <t>12:32:41</t>
  </si>
  <si>
    <t>12:33:01</t>
  </si>
  <si>
    <t>12:33:21</t>
  </si>
  <si>
    <t>12:33:41</t>
  </si>
  <si>
    <t>12:34:01</t>
  </si>
  <si>
    <t>12:34:21</t>
  </si>
  <si>
    <t>12:34:41</t>
  </si>
  <si>
    <t>12:35:01</t>
  </si>
  <si>
    <t>12:35:21</t>
  </si>
  <si>
    <t>12:35:41</t>
  </si>
  <si>
    <t>12:36:01</t>
  </si>
  <si>
    <t>12:36:21</t>
  </si>
  <si>
    <t>12:36:41</t>
  </si>
  <si>
    <t>12:37:01</t>
  </si>
  <si>
    <t>12:37:21</t>
  </si>
  <si>
    <t>12:37:41</t>
  </si>
  <si>
    <t>12:38:01</t>
  </si>
  <si>
    <t>12:38:21</t>
  </si>
  <si>
    <t>12:38:41</t>
  </si>
  <si>
    <t>12:39:01</t>
  </si>
  <si>
    <t>12:39:21</t>
  </si>
  <si>
    <t>12:39:41</t>
  </si>
  <si>
    <t>12:40:01</t>
  </si>
  <si>
    <t>12:40:21</t>
  </si>
  <si>
    <t>12:40:41</t>
  </si>
  <si>
    <t>12:41:01</t>
  </si>
  <si>
    <t>12:41:21</t>
  </si>
  <si>
    <t>12:41:41</t>
  </si>
  <si>
    <t>12:42:01</t>
  </si>
  <si>
    <t>12:42:21</t>
  </si>
  <si>
    <t>12:42:41</t>
  </si>
  <si>
    <t>12:43:01</t>
  </si>
  <si>
    <t>12:43:21</t>
  </si>
  <si>
    <t>12:43:41</t>
  </si>
  <si>
    <t>12:44:01</t>
  </si>
  <si>
    <t>12:44:21</t>
  </si>
  <si>
    <t>12:44:41</t>
  </si>
  <si>
    <t>12:45:01</t>
  </si>
  <si>
    <t>12:45:21</t>
  </si>
  <si>
    <t>12:45:41</t>
  </si>
  <si>
    <t>12:46:01</t>
  </si>
  <si>
    <t>12:46:21</t>
  </si>
  <si>
    <t>12:46:41</t>
  </si>
  <si>
    <t>12:47:01</t>
  </si>
  <si>
    <t>12:47:21</t>
  </si>
  <si>
    <t>12:47:41</t>
  </si>
  <si>
    <t>12:48:01</t>
  </si>
  <si>
    <t>12:48:21</t>
  </si>
  <si>
    <t>12:48:41</t>
  </si>
  <si>
    <t>12:49:01</t>
  </si>
  <si>
    <t>12:49:21</t>
  </si>
  <si>
    <t>12:49:41</t>
  </si>
  <si>
    <t>12:50:01</t>
  </si>
  <si>
    <t>12:50:21</t>
  </si>
  <si>
    <t>12:50:41</t>
  </si>
  <si>
    <t>12:51:01</t>
  </si>
  <si>
    <t>12:51:21</t>
  </si>
  <si>
    <t>12:51:41</t>
  </si>
  <si>
    <t>12:52:01</t>
  </si>
  <si>
    <t>12:52:21</t>
  </si>
  <si>
    <t>12:52:41</t>
  </si>
  <si>
    <t>12:53:01</t>
  </si>
  <si>
    <t>12:53:21</t>
  </si>
  <si>
    <t>12:53:41</t>
  </si>
  <si>
    <t>12:54:01</t>
  </si>
  <si>
    <t>12:54:21</t>
  </si>
  <si>
    <t>12:54:41</t>
  </si>
  <si>
    <t>12:55:01</t>
  </si>
  <si>
    <t>12:55:21</t>
  </si>
  <si>
    <t>12:55:41</t>
  </si>
  <si>
    <t>12:56:01</t>
  </si>
  <si>
    <t>12:56:21</t>
  </si>
  <si>
    <t>12:56:41</t>
  </si>
  <si>
    <t>12:57:01</t>
  </si>
  <si>
    <t>12:57:21</t>
  </si>
  <si>
    <t>12:57:41</t>
  </si>
  <si>
    <t>12:58:01</t>
  </si>
  <si>
    <t>12:58:21</t>
  </si>
  <si>
    <t>12:58:41</t>
  </si>
  <si>
    <t>12:59:01</t>
  </si>
  <si>
    <t>12:59:21</t>
  </si>
  <si>
    <t>12:59:41</t>
  </si>
  <si>
    <t>13:00:01</t>
  </si>
  <si>
    <t>13:00:21</t>
  </si>
  <si>
    <t>13:00:41</t>
  </si>
  <si>
    <t>13:01:01</t>
  </si>
  <si>
    <t>13:01:21</t>
  </si>
  <si>
    <t>13:01:41</t>
  </si>
  <si>
    <t>13:02:01</t>
  </si>
  <si>
    <t>13:02:21</t>
  </si>
  <si>
    <t>13:02:41</t>
  </si>
  <si>
    <t>13:03:01</t>
  </si>
  <si>
    <t>13:03:21</t>
  </si>
  <si>
    <t>13:03:41</t>
  </si>
  <si>
    <t>13:04:01</t>
  </si>
  <si>
    <t>13:04:21</t>
  </si>
  <si>
    <t>13:04:41</t>
  </si>
  <si>
    <t>13:05:01</t>
  </si>
  <si>
    <t>13:05:21</t>
  </si>
  <si>
    <t>13:05:41</t>
  </si>
  <si>
    <t>13:06:01</t>
  </si>
  <si>
    <t>13:06:21</t>
  </si>
  <si>
    <t>13:06:41</t>
  </si>
  <si>
    <t>13:07:01</t>
  </si>
  <si>
    <t>13:07:21</t>
  </si>
  <si>
    <t>13:07:41</t>
  </si>
  <si>
    <t>13:08:01</t>
  </si>
  <si>
    <t>13:08:21</t>
  </si>
  <si>
    <t>13:08:41</t>
  </si>
  <si>
    <t>13:09:01</t>
  </si>
  <si>
    <t>13:09:21</t>
  </si>
  <si>
    <t>13:09:41</t>
  </si>
  <si>
    <t>13:10:01</t>
  </si>
  <si>
    <t>13:10:21</t>
  </si>
  <si>
    <t>13:10:41</t>
  </si>
  <si>
    <t>13:11:01</t>
  </si>
  <si>
    <t>13:11:21</t>
  </si>
  <si>
    <t>13:11:41</t>
  </si>
  <si>
    <t>13:12:01</t>
  </si>
  <si>
    <t>13:12:21</t>
  </si>
  <si>
    <t>13:12:41</t>
  </si>
  <si>
    <t>13:13:01</t>
  </si>
  <si>
    <t>13:13:21</t>
  </si>
  <si>
    <t>13:13:41</t>
  </si>
  <si>
    <t>13:14:01</t>
  </si>
  <si>
    <t>13:14:21</t>
  </si>
  <si>
    <t>13:14:41</t>
  </si>
  <si>
    <t>13:15:01</t>
  </si>
  <si>
    <t>13:15:21</t>
  </si>
  <si>
    <t>13:15:41</t>
  </si>
  <si>
    <t>13:16:01</t>
  </si>
  <si>
    <t>13:16:21</t>
  </si>
  <si>
    <t>13:16:41</t>
  </si>
  <si>
    <t>13:17:01</t>
  </si>
  <si>
    <t>13:17:21</t>
  </si>
  <si>
    <t>13:17:41</t>
  </si>
  <si>
    <t>13:18:01</t>
  </si>
  <si>
    <t>13:18:21</t>
  </si>
  <si>
    <t>13:18:41</t>
  </si>
  <si>
    <t>13:19:01</t>
  </si>
  <si>
    <t>13:19:21</t>
  </si>
  <si>
    <t>13:19:41</t>
  </si>
  <si>
    <t>13:20:01</t>
  </si>
  <si>
    <t>13:20:21</t>
  </si>
  <si>
    <t>13:20:41</t>
  </si>
  <si>
    <t>13:21:01</t>
  </si>
  <si>
    <t>13:21:21</t>
  </si>
  <si>
    <t>13:21:41</t>
  </si>
  <si>
    <t>13:22:01</t>
  </si>
  <si>
    <t>13:22:21</t>
  </si>
  <si>
    <t>13:22:41</t>
  </si>
  <si>
    <t>13:23:01</t>
  </si>
  <si>
    <t>13:23:21</t>
  </si>
  <si>
    <t>13:23:41</t>
  </si>
  <si>
    <t>13:24:01</t>
  </si>
  <si>
    <t>13:24:21</t>
  </si>
  <si>
    <t>13:24:41</t>
  </si>
  <si>
    <t>13:25:01</t>
  </si>
  <si>
    <t>13:25:21</t>
  </si>
  <si>
    <t>13:25:41</t>
  </si>
  <si>
    <t>13:26:01</t>
  </si>
  <si>
    <t>13:26:21</t>
  </si>
  <si>
    <t>13:26:41</t>
  </si>
  <si>
    <t>13:27:01</t>
  </si>
  <si>
    <t>13:27:21</t>
  </si>
  <si>
    <t>13:27:41</t>
  </si>
  <si>
    <t>13:28:01</t>
  </si>
  <si>
    <t>13:28:21</t>
  </si>
  <si>
    <t>13:28:41</t>
  </si>
  <si>
    <t>13:29:01</t>
  </si>
  <si>
    <t>13:29:21</t>
  </si>
  <si>
    <t>13:29:41</t>
  </si>
  <si>
    <t>13:30:01</t>
  </si>
  <si>
    <t>13:30:21</t>
  </si>
  <si>
    <t>13:30:41</t>
  </si>
  <si>
    <t>13:31:01</t>
  </si>
  <si>
    <t>13:31:21</t>
  </si>
  <si>
    <t>13:31:41</t>
  </si>
  <si>
    <t>13:32:01</t>
  </si>
  <si>
    <t>13:32:21</t>
  </si>
  <si>
    <t>13:32:41</t>
  </si>
  <si>
    <t>13:33:01</t>
  </si>
  <si>
    <t>13:33:21</t>
  </si>
  <si>
    <t>13:33:41</t>
  </si>
  <si>
    <t>13:34:01</t>
  </si>
  <si>
    <t>13:34:21</t>
  </si>
  <si>
    <t>13:34:41</t>
  </si>
  <si>
    <t>13:35:01</t>
  </si>
  <si>
    <t>13:35:21</t>
  </si>
  <si>
    <t>13:35:41</t>
  </si>
  <si>
    <t>13:36:01</t>
  </si>
  <si>
    <t>13:36:21</t>
  </si>
  <si>
    <t>13:36:41</t>
  </si>
  <si>
    <t>13:37:01</t>
  </si>
  <si>
    <t>13:37:21</t>
  </si>
  <si>
    <t>13:37:41</t>
  </si>
  <si>
    <t>13:38:01</t>
  </si>
  <si>
    <t>13:38:21</t>
  </si>
  <si>
    <t>13:38:41</t>
  </si>
  <si>
    <t>13:39:01</t>
  </si>
  <si>
    <t>13:39:21</t>
  </si>
  <si>
    <t>13:39:41</t>
  </si>
  <si>
    <t>13:40:01</t>
  </si>
  <si>
    <t>13:40:21</t>
  </si>
  <si>
    <t>13:40:41</t>
  </si>
  <si>
    <t>13:41:01</t>
  </si>
  <si>
    <t>13:41:21</t>
  </si>
  <si>
    <t>13:41:41</t>
  </si>
  <si>
    <t>13:42:01</t>
  </si>
  <si>
    <t>13:42:21</t>
  </si>
  <si>
    <t>13:42:41</t>
  </si>
  <si>
    <t>13:43:01</t>
  </si>
  <si>
    <t>13:43:21</t>
  </si>
  <si>
    <t>13:43:41</t>
  </si>
  <si>
    <t>13:44:01</t>
  </si>
  <si>
    <t>13:44:21</t>
  </si>
  <si>
    <t>13:44:41</t>
  </si>
  <si>
    <t>13:45:01</t>
  </si>
  <si>
    <t>13:45:21</t>
  </si>
  <si>
    <t>13:45:41</t>
  </si>
  <si>
    <t>13:46:01</t>
  </si>
  <si>
    <t>13:46:21</t>
  </si>
  <si>
    <t>13:46:41</t>
  </si>
  <si>
    <t>13:47:01</t>
  </si>
  <si>
    <t>13:47:21</t>
  </si>
  <si>
    <t>13:47:41</t>
  </si>
  <si>
    <t>13:48:01</t>
  </si>
  <si>
    <t>13:48:21</t>
  </si>
  <si>
    <t>13:48:41</t>
  </si>
  <si>
    <t>13:49:01</t>
  </si>
  <si>
    <t>13:49:21</t>
  </si>
  <si>
    <t>13:49:41</t>
  </si>
  <si>
    <t>13:50:01</t>
  </si>
  <si>
    <t>13:50:21</t>
  </si>
  <si>
    <t>13:50:41</t>
  </si>
  <si>
    <t>13:51:01</t>
  </si>
  <si>
    <t>13:51:21</t>
  </si>
  <si>
    <t>13:51:41</t>
  </si>
  <si>
    <t>13:52:01</t>
  </si>
  <si>
    <t>13:52:21</t>
  </si>
  <si>
    <t>13:52:41</t>
  </si>
  <si>
    <t>13:53:01</t>
  </si>
  <si>
    <t>13:53:21</t>
  </si>
  <si>
    <t>13:53:41</t>
  </si>
  <si>
    <t>13:54:01</t>
  </si>
  <si>
    <t>13:54:21</t>
  </si>
  <si>
    <t>13:54:41</t>
  </si>
  <si>
    <t>13:55:01</t>
  </si>
  <si>
    <t>13:55:21</t>
  </si>
  <si>
    <t>13:55:41</t>
  </si>
  <si>
    <t>13:56:01</t>
  </si>
  <si>
    <t>13:56:21</t>
  </si>
  <si>
    <t>13:56:41</t>
  </si>
  <si>
    <t>13:57:01</t>
  </si>
  <si>
    <t>13:57:21</t>
  </si>
  <si>
    <t>13:57:41</t>
  </si>
  <si>
    <t>13:58:01</t>
  </si>
  <si>
    <t>13:58:21</t>
  </si>
  <si>
    <t>13:58:41</t>
  </si>
  <si>
    <t>13:59:01</t>
  </si>
  <si>
    <t>13:59:21</t>
  </si>
  <si>
    <t>13:59:41</t>
  </si>
  <si>
    <t>14:00:01</t>
  </si>
  <si>
    <t>14:00:21</t>
  </si>
  <si>
    <t>14:00:41</t>
  </si>
  <si>
    <t>14:01:01</t>
  </si>
  <si>
    <t>14:01:21</t>
  </si>
  <si>
    <t>14:01:41</t>
  </si>
  <si>
    <t>14:02:01</t>
  </si>
  <si>
    <t>14:02:21</t>
  </si>
  <si>
    <t>14:02:41</t>
  </si>
  <si>
    <t>14:03:01</t>
  </si>
  <si>
    <t>14:03:21</t>
  </si>
  <si>
    <t>14:03:41</t>
  </si>
  <si>
    <t>14:04:01</t>
  </si>
  <si>
    <t>14:04:21</t>
  </si>
  <si>
    <t>14:04:41</t>
  </si>
  <si>
    <t>14:05:01</t>
  </si>
  <si>
    <t>14:05:21</t>
  </si>
  <si>
    <t>14:05:41</t>
  </si>
  <si>
    <t>14:06:01</t>
  </si>
  <si>
    <t>14:06:21</t>
  </si>
  <si>
    <t>14:06:41</t>
  </si>
  <si>
    <t>14:07:01</t>
  </si>
  <si>
    <t>14:07:21</t>
  </si>
  <si>
    <t>14:07:41</t>
  </si>
  <si>
    <t>14:08:01</t>
  </si>
  <si>
    <t>14:08:21</t>
  </si>
  <si>
    <t>14:08:41</t>
  </si>
  <si>
    <t>14:09:01</t>
  </si>
  <si>
    <t>14:09:21</t>
  </si>
  <si>
    <t>14:09:41</t>
  </si>
  <si>
    <t>14:10:01</t>
  </si>
  <si>
    <t>14:10:21</t>
  </si>
  <si>
    <t>14:10:41</t>
  </si>
  <si>
    <t>14:11:01</t>
  </si>
  <si>
    <t>14:11:21</t>
  </si>
  <si>
    <t>14:11:41</t>
  </si>
  <si>
    <t>14:12:01</t>
  </si>
  <si>
    <t>14:12:21</t>
  </si>
  <si>
    <t>14:12:41</t>
  </si>
  <si>
    <t>14:13:01</t>
  </si>
  <si>
    <t>14:13:21</t>
  </si>
  <si>
    <t>14:13:41</t>
  </si>
  <si>
    <t>14:14:01</t>
  </si>
  <si>
    <t>14:14:21</t>
  </si>
  <si>
    <t>14:14:41</t>
  </si>
  <si>
    <t>14:15:01</t>
  </si>
  <si>
    <t>14:15:21</t>
  </si>
  <si>
    <t>14:15:41</t>
  </si>
  <si>
    <t>14:16:01</t>
  </si>
  <si>
    <t>14:16:21</t>
  </si>
  <si>
    <t>14:16:41</t>
  </si>
  <si>
    <t>14:17:01</t>
  </si>
  <si>
    <t>14:17:21</t>
  </si>
  <si>
    <t>14:17:41</t>
  </si>
  <si>
    <t>14:18:01</t>
  </si>
  <si>
    <t>14:18:21</t>
  </si>
  <si>
    <t>14:18:41</t>
  </si>
  <si>
    <t>14:19:01</t>
  </si>
  <si>
    <t>14:19:21</t>
  </si>
  <si>
    <t>14:19:41</t>
  </si>
  <si>
    <t>14:20:01</t>
  </si>
  <si>
    <t>14:20:21</t>
  </si>
  <si>
    <t>14:20:41</t>
  </si>
  <si>
    <t>14:21:01</t>
  </si>
  <si>
    <t>14:21:21</t>
  </si>
  <si>
    <t>14:21:41</t>
  </si>
  <si>
    <t>14:22:01</t>
  </si>
  <si>
    <t>14:22:21</t>
  </si>
  <si>
    <t>14:22:41</t>
  </si>
  <si>
    <t>14:23:01</t>
  </si>
  <si>
    <t>14:23:21</t>
  </si>
  <si>
    <t>14:23:41</t>
  </si>
  <si>
    <t>14:24:01</t>
  </si>
  <si>
    <t>14:24:21</t>
  </si>
  <si>
    <t>14:24:41</t>
  </si>
  <si>
    <t>14:25:01</t>
  </si>
  <si>
    <t>14:25:21</t>
  </si>
  <si>
    <t>14:25:41</t>
  </si>
  <si>
    <t>14:26:01</t>
  </si>
  <si>
    <t>14:26:21</t>
  </si>
  <si>
    <t>14:26:41</t>
  </si>
  <si>
    <t>14:27:01</t>
  </si>
  <si>
    <t>14:27:21</t>
  </si>
  <si>
    <t>Constants</t>
  </si>
  <si>
    <t>a</t>
  </si>
  <si>
    <t>bar</t>
  </si>
  <si>
    <t>b</t>
  </si>
  <si>
    <t xml:space="preserve">c </t>
  </si>
  <si>
    <t>°C</t>
  </si>
  <si>
    <t>d</t>
  </si>
  <si>
    <t>Rw</t>
  </si>
  <si>
    <t>Time</t>
  </si>
  <si>
    <t>Saturated water pressure</t>
  </si>
  <si>
    <t>Actual water pressure</t>
  </si>
  <si>
    <t>Dew point</t>
  </si>
  <si>
    <t>Ha (g/m3)</t>
  </si>
  <si>
    <t>Absorbance</t>
  </si>
  <si>
    <t>Moyenne Ha</t>
  </si>
  <si>
    <t>Moyenne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</si>
</sst>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0"/>
      <name val="Arial"/>
    </font>
    <font>
      <sz val="10"/>
      <name val="Times New Roman"/>
    </font>
    <font>
      <sz val="10"/>
      <name val="Arial"/>
      <family val="2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Protection="1">
      <protection locked="0"/>
    </xf>
    <xf numFmtId="22" fontId="0" fillId="0" borderId="0" xfId="0" applyNumberFormat="1"/>
    <xf numFmtId="11" fontId="0" fillId="0" borderId="0" xfId="0" applyNumberFormat="1"/>
    <xf numFmtId="0" fontId="2" fillId="0" borderId="0" xfId="0" applyFont="1"/>
    <xf numFmtId="164" fontId="1" fillId="0" borderId="0" xfId="0" applyNumberFormat="1" applyFont="1" applyProtection="1"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3" fillId="0" borderId="2" xfId="0" applyFont="1" applyBorder="1" applyAlignment="1" applyProtection="1">
      <alignment horizontal="center" wrapText="1"/>
      <protection locked="0"/>
    </xf>
    <xf numFmtId="0" fontId="3" fillId="0" borderId="2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'20240627-6D000000710BF641___ HY'!$K$10:$K$584</c:f>
              <c:numCache>
                <c:formatCode>General</c:formatCode>
                <c:ptCount val="575"/>
                <c:pt idx="0">
                  <c:v>2.1069999999999999E-3</c:v>
                </c:pt>
                <c:pt idx="1">
                  <c:v>1.6149999999999999E-3</c:v>
                </c:pt>
                <c:pt idx="2">
                  <c:v>1.74E-3</c:v>
                </c:pt>
                <c:pt idx="3">
                  <c:v>1.65E-3</c:v>
                </c:pt>
                <c:pt idx="4">
                  <c:v>1.951E-3</c:v>
                </c:pt>
                <c:pt idx="5">
                  <c:v>1.755E-3</c:v>
                </c:pt>
                <c:pt idx="6">
                  <c:v>1.7290000000000001E-3</c:v>
                </c:pt>
                <c:pt idx="7">
                  <c:v>1.6299999999999999E-3</c:v>
                </c:pt>
                <c:pt idx="8">
                  <c:v>1.503E-3</c:v>
                </c:pt>
                <c:pt idx="9">
                  <c:v>1.5100000000000001E-3</c:v>
                </c:pt>
                <c:pt idx="10">
                  <c:v>1.7849999999999999E-3</c:v>
                </c:pt>
                <c:pt idx="11">
                  <c:v>1.5319999999999999E-3</c:v>
                </c:pt>
                <c:pt idx="12">
                  <c:v>1.7049999999999999E-3</c:v>
                </c:pt>
                <c:pt idx="13">
                  <c:v>1.879E-3</c:v>
                </c:pt>
                <c:pt idx="14">
                  <c:v>2E-3</c:v>
                </c:pt>
                <c:pt idx="15">
                  <c:v>1.915E-3</c:v>
                </c:pt>
                <c:pt idx="16">
                  <c:v>2.1180000000000001E-3</c:v>
                </c:pt>
                <c:pt idx="17">
                  <c:v>2.183E-3</c:v>
                </c:pt>
                <c:pt idx="18">
                  <c:v>2.1389999999999998E-3</c:v>
                </c:pt>
                <c:pt idx="19">
                  <c:v>2.1940000000000002E-3</c:v>
                </c:pt>
                <c:pt idx="20">
                  <c:v>1.8879999999999999E-3</c:v>
                </c:pt>
                <c:pt idx="21">
                  <c:v>1.725E-3</c:v>
                </c:pt>
                <c:pt idx="22">
                  <c:v>2.036E-3</c:v>
                </c:pt>
                <c:pt idx="23">
                  <c:v>1.8550000000000001E-3</c:v>
                </c:pt>
                <c:pt idx="24">
                  <c:v>1.74E-3</c:v>
                </c:pt>
                <c:pt idx="25">
                  <c:v>1.438E-3</c:v>
                </c:pt>
                <c:pt idx="26">
                  <c:v>1.5330000000000001E-3</c:v>
                </c:pt>
                <c:pt idx="27">
                  <c:v>1.8420000000000001E-3</c:v>
                </c:pt>
                <c:pt idx="28">
                  <c:v>1.6659999999999999E-3</c:v>
                </c:pt>
                <c:pt idx="29">
                  <c:v>1.9070000000000001E-3</c:v>
                </c:pt>
                <c:pt idx="30">
                  <c:v>1.9369999999999999E-3</c:v>
                </c:pt>
                <c:pt idx="31">
                  <c:v>1.6559999999999999E-3</c:v>
                </c:pt>
                <c:pt idx="32">
                  <c:v>1.931E-3</c:v>
                </c:pt>
                <c:pt idx="33">
                  <c:v>1.4809999999999999E-3</c:v>
                </c:pt>
                <c:pt idx="34">
                  <c:v>2.0590000000000001E-3</c:v>
                </c:pt>
                <c:pt idx="35">
                  <c:v>1.9059999999999999E-3</c:v>
                </c:pt>
                <c:pt idx="36">
                  <c:v>2.0140000000000002E-3</c:v>
                </c:pt>
                <c:pt idx="37">
                  <c:v>2.147E-3</c:v>
                </c:pt>
                <c:pt idx="38">
                  <c:v>2.0470000000000002E-3</c:v>
                </c:pt>
                <c:pt idx="39">
                  <c:v>1.98E-3</c:v>
                </c:pt>
                <c:pt idx="40">
                  <c:v>1.9959999999999999E-3</c:v>
                </c:pt>
                <c:pt idx="41">
                  <c:v>2.036E-3</c:v>
                </c:pt>
                <c:pt idx="42">
                  <c:v>2.1719999999999999E-3</c:v>
                </c:pt>
                <c:pt idx="43">
                  <c:v>2.1120000000000002E-3</c:v>
                </c:pt>
                <c:pt idx="44">
                  <c:v>2.3029999999999999E-3</c:v>
                </c:pt>
                <c:pt idx="45">
                  <c:v>2.1329999999999999E-3</c:v>
                </c:pt>
                <c:pt idx="46">
                  <c:v>2.2039999999999998E-3</c:v>
                </c:pt>
                <c:pt idx="47">
                  <c:v>1.9680000000000001E-3</c:v>
                </c:pt>
                <c:pt idx="48">
                  <c:v>2.1210000000000001E-3</c:v>
                </c:pt>
                <c:pt idx="49">
                  <c:v>1.9269999999999999E-3</c:v>
                </c:pt>
                <c:pt idx="50">
                  <c:v>2.1250000000000002E-3</c:v>
                </c:pt>
                <c:pt idx="51">
                  <c:v>2.1099999999999999E-3</c:v>
                </c:pt>
                <c:pt idx="52">
                  <c:v>1.9170000000000001E-3</c:v>
                </c:pt>
                <c:pt idx="53">
                  <c:v>1.7949999999999999E-3</c:v>
                </c:pt>
                <c:pt idx="54">
                  <c:v>1.7290000000000001E-3</c:v>
                </c:pt>
                <c:pt idx="55">
                  <c:v>1.923E-3</c:v>
                </c:pt>
                <c:pt idx="56">
                  <c:v>1.9880000000000002E-3</c:v>
                </c:pt>
                <c:pt idx="57">
                  <c:v>1.9689999999999998E-3</c:v>
                </c:pt>
                <c:pt idx="58">
                  <c:v>1.8420000000000001E-3</c:v>
                </c:pt>
                <c:pt idx="59">
                  <c:v>1.8060000000000001E-3</c:v>
                </c:pt>
                <c:pt idx="60">
                  <c:v>1.818E-3</c:v>
                </c:pt>
                <c:pt idx="61">
                  <c:v>2.787E-3</c:v>
                </c:pt>
                <c:pt idx="62">
                  <c:v>1.5709999999999999E-3</c:v>
                </c:pt>
                <c:pt idx="63">
                  <c:v>1.5560000000000001E-3</c:v>
                </c:pt>
                <c:pt idx="64">
                  <c:v>2.5999999999999998E-4</c:v>
                </c:pt>
                <c:pt idx="65">
                  <c:v>2.1380000000000001E-3</c:v>
                </c:pt>
                <c:pt idx="66">
                  <c:v>2.843E-3</c:v>
                </c:pt>
                <c:pt idx="67">
                  <c:v>2.4369999999999999E-3</c:v>
                </c:pt>
                <c:pt idx="68">
                  <c:v>2.4740000000000001E-3</c:v>
                </c:pt>
                <c:pt idx="69">
                  <c:v>2.183E-3</c:v>
                </c:pt>
                <c:pt idx="70">
                  <c:v>1.885E-3</c:v>
                </c:pt>
                <c:pt idx="71">
                  <c:v>2.715E-3</c:v>
                </c:pt>
                <c:pt idx="72">
                  <c:v>1.691E-3</c:v>
                </c:pt>
                <c:pt idx="73">
                  <c:v>1.4519999999999999E-3</c:v>
                </c:pt>
                <c:pt idx="74">
                  <c:v>1.892E-3</c:v>
                </c:pt>
                <c:pt idx="75">
                  <c:v>2.0939999999999999E-3</c:v>
                </c:pt>
                <c:pt idx="76">
                  <c:v>2.9190000000000002E-3</c:v>
                </c:pt>
                <c:pt idx="77">
                  <c:v>2.4380000000000001E-3</c:v>
                </c:pt>
                <c:pt idx="78">
                  <c:v>2.957E-3</c:v>
                </c:pt>
                <c:pt idx="79">
                  <c:v>2.836E-3</c:v>
                </c:pt>
                <c:pt idx="80">
                  <c:v>2.875E-3</c:v>
                </c:pt>
                <c:pt idx="81">
                  <c:v>3.1939999999999998E-3</c:v>
                </c:pt>
                <c:pt idx="82">
                  <c:v>3.5349999999999999E-3</c:v>
                </c:pt>
                <c:pt idx="83">
                  <c:v>2.9320000000000001E-3</c:v>
                </c:pt>
                <c:pt idx="84">
                  <c:v>2.9359999999999998E-3</c:v>
                </c:pt>
                <c:pt idx="85">
                  <c:v>2.9819999999999998E-3</c:v>
                </c:pt>
                <c:pt idx="86">
                  <c:v>3.542E-3</c:v>
                </c:pt>
                <c:pt idx="87">
                  <c:v>3.3999999999999998E-3</c:v>
                </c:pt>
                <c:pt idx="88">
                  <c:v>3.9300000000000003E-3</c:v>
                </c:pt>
                <c:pt idx="89">
                  <c:v>3.5829999999999998E-3</c:v>
                </c:pt>
                <c:pt idx="90">
                  <c:v>3.9230000000000003E-3</c:v>
                </c:pt>
                <c:pt idx="91">
                  <c:v>3.46E-3</c:v>
                </c:pt>
                <c:pt idx="92">
                  <c:v>3.754E-3</c:v>
                </c:pt>
                <c:pt idx="93">
                  <c:v>4.5110000000000003E-3</c:v>
                </c:pt>
                <c:pt idx="94">
                  <c:v>3.7039999999999998E-3</c:v>
                </c:pt>
                <c:pt idx="95">
                  <c:v>3.7420000000000001E-3</c:v>
                </c:pt>
                <c:pt idx="96">
                  <c:v>3.2060000000000001E-3</c:v>
                </c:pt>
                <c:pt idx="97">
                  <c:v>2.5300000000000001E-3</c:v>
                </c:pt>
                <c:pt idx="98">
                  <c:v>3.2780000000000001E-3</c:v>
                </c:pt>
                <c:pt idx="99">
                  <c:v>3.0920000000000001E-3</c:v>
                </c:pt>
                <c:pt idx="100">
                  <c:v>3.4039999999999999E-3</c:v>
                </c:pt>
                <c:pt idx="101">
                  <c:v>2.7880000000000001E-3</c:v>
                </c:pt>
                <c:pt idx="102">
                  <c:v>4.1000000000000003E-3</c:v>
                </c:pt>
                <c:pt idx="103">
                  <c:v>3.4680000000000002E-3</c:v>
                </c:pt>
                <c:pt idx="104">
                  <c:v>3.5569999999999998E-3</c:v>
                </c:pt>
                <c:pt idx="105">
                  <c:v>3.5990000000000002E-3</c:v>
                </c:pt>
                <c:pt idx="106">
                  <c:v>4.1349999999999998E-3</c:v>
                </c:pt>
                <c:pt idx="107">
                  <c:v>3.4169999999999999E-3</c:v>
                </c:pt>
                <c:pt idx="108">
                  <c:v>3.7269999999999998E-3</c:v>
                </c:pt>
                <c:pt idx="109">
                  <c:v>3.9020000000000001E-3</c:v>
                </c:pt>
                <c:pt idx="110">
                  <c:v>2.9030000000000002E-3</c:v>
                </c:pt>
                <c:pt idx="111">
                  <c:v>3.274E-3</c:v>
                </c:pt>
                <c:pt idx="112">
                  <c:v>4.3350000000000003E-3</c:v>
                </c:pt>
                <c:pt idx="113">
                  <c:v>3.591E-3</c:v>
                </c:pt>
                <c:pt idx="114">
                  <c:v>2.7910000000000001E-3</c:v>
                </c:pt>
                <c:pt idx="115">
                  <c:v>3.9399999999999999E-3</c:v>
                </c:pt>
                <c:pt idx="116">
                  <c:v>3.2529999999999998E-3</c:v>
                </c:pt>
                <c:pt idx="117">
                  <c:v>3.5750000000000001E-3</c:v>
                </c:pt>
                <c:pt idx="118">
                  <c:v>2.9989999999999999E-3</c:v>
                </c:pt>
                <c:pt idx="119">
                  <c:v>3.9870000000000001E-3</c:v>
                </c:pt>
                <c:pt idx="120">
                  <c:v>4.0889999999999998E-3</c:v>
                </c:pt>
                <c:pt idx="121">
                  <c:v>3.6809999999999998E-3</c:v>
                </c:pt>
                <c:pt idx="122">
                  <c:v>3.186E-3</c:v>
                </c:pt>
                <c:pt idx="123">
                  <c:v>4.1980000000000003E-3</c:v>
                </c:pt>
                <c:pt idx="124">
                  <c:v>3.718E-3</c:v>
                </c:pt>
                <c:pt idx="125">
                  <c:v>3.777E-3</c:v>
                </c:pt>
                <c:pt idx="126">
                  <c:v>3.5839999999999999E-3</c:v>
                </c:pt>
                <c:pt idx="127">
                  <c:v>3.2070000000000002E-3</c:v>
                </c:pt>
                <c:pt idx="128">
                  <c:v>2.9429999999999999E-3</c:v>
                </c:pt>
                <c:pt idx="129">
                  <c:v>3.8709999999999999E-3</c:v>
                </c:pt>
                <c:pt idx="130">
                  <c:v>4.1089999999999998E-3</c:v>
                </c:pt>
                <c:pt idx="131">
                  <c:v>3.784E-3</c:v>
                </c:pt>
                <c:pt idx="132">
                  <c:v>4.0819999999999997E-3</c:v>
                </c:pt>
                <c:pt idx="133">
                  <c:v>4.1599999999999996E-3</c:v>
                </c:pt>
                <c:pt idx="134">
                  <c:v>4.3909999999999999E-3</c:v>
                </c:pt>
                <c:pt idx="135">
                  <c:v>5.1289999999999999E-3</c:v>
                </c:pt>
                <c:pt idx="136">
                  <c:v>4.2420000000000001E-3</c:v>
                </c:pt>
                <c:pt idx="137">
                  <c:v>4.9360000000000003E-3</c:v>
                </c:pt>
                <c:pt idx="138">
                  <c:v>4.0810000000000004E-3</c:v>
                </c:pt>
                <c:pt idx="139">
                  <c:v>4.9839999999999997E-3</c:v>
                </c:pt>
                <c:pt idx="140">
                  <c:v>4.5989999999999998E-3</c:v>
                </c:pt>
                <c:pt idx="141">
                  <c:v>4.6719999999999999E-3</c:v>
                </c:pt>
                <c:pt idx="142">
                  <c:v>4.4759999999999999E-3</c:v>
                </c:pt>
                <c:pt idx="143">
                  <c:v>4.7559999999999998E-3</c:v>
                </c:pt>
                <c:pt idx="144">
                  <c:v>5.045E-3</c:v>
                </c:pt>
                <c:pt idx="145">
                  <c:v>5.4159999999999998E-3</c:v>
                </c:pt>
                <c:pt idx="146">
                  <c:v>5.1310000000000001E-3</c:v>
                </c:pt>
                <c:pt idx="147">
                  <c:v>5.0299999999999997E-3</c:v>
                </c:pt>
                <c:pt idx="148">
                  <c:v>4.4079999999999996E-3</c:v>
                </c:pt>
                <c:pt idx="149">
                  <c:v>4.7359999999999998E-3</c:v>
                </c:pt>
                <c:pt idx="150">
                  <c:v>4.5110000000000003E-3</c:v>
                </c:pt>
                <c:pt idx="151">
                  <c:v>4.5519999999999996E-3</c:v>
                </c:pt>
                <c:pt idx="152">
                  <c:v>4.5490000000000001E-3</c:v>
                </c:pt>
                <c:pt idx="153">
                  <c:v>4.1539999999999997E-3</c:v>
                </c:pt>
                <c:pt idx="154">
                  <c:v>4.7089999999999996E-3</c:v>
                </c:pt>
                <c:pt idx="155">
                  <c:v>4.7419999999999997E-3</c:v>
                </c:pt>
                <c:pt idx="156">
                  <c:v>4.3359999999999996E-3</c:v>
                </c:pt>
                <c:pt idx="157">
                  <c:v>4.6610000000000002E-3</c:v>
                </c:pt>
                <c:pt idx="158">
                  <c:v>4.2050000000000004E-3</c:v>
                </c:pt>
                <c:pt idx="159">
                  <c:v>4.2929999999999999E-3</c:v>
                </c:pt>
                <c:pt idx="160">
                  <c:v>4.6350000000000002E-3</c:v>
                </c:pt>
                <c:pt idx="161">
                  <c:v>5.0790000000000002E-3</c:v>
                </c:pt>
                <c:pt idx="162">
                  <c:v>4.4149999999999997E-3</c:v>
                </c:pt>
                <c:pt idx="163">
                  <c:v>4.1050000000000001E-3</c:v>
                </c:pt>
                <c:pt idx="164">
                  <c:v>4.9150000000000001E-3</c:v>
                </c:pt>
                <c:pt idx="165">
                  <c:v>4.8840000000000003E-3</c:v>
                </c:pt>
                <c:pt idx="166">
                  <c:v>4.0619999999999996E-3</c:v>
                </c:pt>
                <c:pt idx="167">
                  <c:v>4.47E-3</c:v>
                </c:pt>
                <c:pt idx="168">
                  <c:v>3.7559999999999998E-3</c:v>
                </c:pt>
                <c:pt idx="169">
                  <c:v>5.045E-3</c:v>
                </c:pt>
                <c:pt idx="170">
                  <c:v>4.1260000000000003E-3</c:v>
                </c:pt>
                <c:pt idx="171">
                  <c:v>4.9129999999999998E-3</c:v>
                </c:pt>
                <c:pt idx="172">
                  <c:v>4.7540000000000004E-3</c:v>
                </c:pt>
                <c:pt idx="173">
                  <c:v>4.4359999999999998E-3</c:v>
                </c:pt>
                <c:pt idx="174">
                  <c:v>5.2449999999999997E-3</c:v>
                </c:pt>
                <c:pt idx="175">
                  <c:v>4.8209999999999998E-3</c:v>
                </c:pt>
                <c:pt idx="176">
                  <c:v>4.3150000000000003E-3</c:v>
                </c:pt>
                <c:pt idx="177">
                  <c:v>4.2090000000000001E-3</c:v>
                </c:pt>
                <c:pt idx="178">
                  <c:v>4.6690000000000004E-3</c:v>
                </c:pt>
                <c:pt idx="179">
                  <c:v>4.3359999999999996E-3</c:v>
                </c:pt>
                <c:pt idx="180">
                  <c:v>4.8399999999999997E-3</c:v>
                </c:pt>
                <c:pt idx="181">
                  <c:v>4.5739999999999999E-3</c:v>
                </c:pt>
                <c:pt idx="182">
                  <c:v>5.1159999999999999E-3</c:v>
                </c:pt>
                <c:pt idx="183">
                  <c:v>5.0699999999999999E-3</c:v>
                </c:pt>
                <c:pt idx="184">
                  <c:v>5.0470000000000003E-3</c:v>
                </c:pt>
                <c:pt idx="185">
                  <c:v>5.4970000000000001E-3</c:v>
                </c:pt>
                <c:pt idx="186">
                  <c:v>5.4590000000000003E-3</c:v>
                </c:pt>
                <c:pt idx="187">
                  <c:v>6.339E-3</c:v>
                </c:pt>
                <c:pt idx="188">
                  <c:v>5.5009999999999998E-3</c:v>
                </c:pt>
                <c:pt idx="189">
                  <c:v>5.8259999999999996E-3</c:v>
                </c:pt>
                <c:pt idx="190">
                  <c:v>6.5329999999999997E-3</c:v>
                </c:pt>
                <c:pt idx="191">
                  <c:v>6.0359999999999997E-3</c:v>
                </c:pt>
                <c:pt idx="192">
                  <c:v>6.0229999999999997E-3</c:v>
                </c:pt>
                <c:pt idx="193">
                  <c:v>6.0219999999999996E-3</c:v>
                </c:pt>
                <c:pt idx="194">
                  <c:v>5.561E-3</c:v>
                </c:pt>
                <c:pt idx="195">
                  <c:v>6.5529999999999998E-3</c:v>
                </c:pt>
                <c:pt idx="196">
                  <c:v>5.6990000000000001E-3</c:v>
                </c:pt>
                <c:pt idx="197">
                  <c:v>5.7409999999999996E-3</c:v>
                </c:pt>
                <c:pt idx="198">
                  <c:v>6.3940000000000004E-3</c:v>
                </c:pt>
                <c:pt idx="199">
                  <c:v>5.672E-3</c:v>
                </c:pt>
                <c:pt idx="200">
                  <c:v>5.6699999999999997E-3</c:v>
                </c:pt>
                <c:pt idx="201">
                  <c:v>5.3629999999999997E-3</c:v>
                </c:pt>
                <c:pt idx="202">
                  <c:v>5.8919999999999997E-3</c:v>
                </c:pt>
                <c:pt idx="203">
                  <c:v>5.4530000000000004E-3</c:v>
                </c:pt>
                <c:pt idx="204">
                  <c:v>5.8869999999999999E-3</c:v>
                </c:pt>
                <c:pt idx="205">
                  <c:v>5.1900000000000002E-3</c:v>
                </c:pt>
                <c:pt idx="206">
                  <c:v>6.5399999999999998E-3</c:v>
                </c:pt>
                <c:pt idx="207">
                  <c:v>5.6379999999999998E-3</c:v>
                </c:pt>
                <c:pt idx="208">
                  <c:v>5.3049999999999998E-3</c:v>
                </c:pt>
                <c:pt idx="209">
                  <c:v>6.012E-3</c:v>
                </c:pt>
                <c:pt idx="210">
                  <c:v>5.5880000000000001E-3</c:v>
                </c:pt>
                <c:pt idx="211">
                  <c:v>5.8529999999999997E-3</c:v>
                </c:pt>
                <c:pt idx="212">
                  <c:v>5.084E-3</c:v>
                </c:pt>
                <c:pt idx="213">
                  <c:v>5.8729999999999997E-3</c:v>
                </c:pt>
                <c:pt idx="214">
                  <c:v>5.9719999999999999E-3</c:v>
                </c:pt>
                <c:pt idx="215">
                  <c:v>6.0870000000000004E-3</c:v>
                </c:pt>
                <c:pt idx="216">
                  <c:v>6.2160000000000002E-3</c:v>
                </c:pt>
                <c:pt idx="217">
                  <c:v>6.2680000000000001E-3</c:v>
                </c:pt>
                <c:pt idx="218">
                  <c:v>7.0070000000000002E-3</c:v>
                </c:pt>
                <c:pt idx="219">
                  <c:v>6.522E-3</c:v>
                </c:pt>
                <c:pt idx="220">
                  <c:v>5.9519999999999998E-3</c:v>
                </c:pt>
                <c:pt idx="221">
                  <c:v>5.4549999999999998E-3</c:v>
                </c:pt>
                <c:pt idx="222">
                  <c:v>6.3720000000000001E-3</c:v>
                </c:pt>
                <c:pt idx="223">
                  <c:v>5.8539999999999998E-3</c:v>
                </c:pt>
                <c:pt idx="224">
                  <c:v>5.6109999999999997E-3</c:v>
                </c:pt>
                <c:pt idx="225">
                  <c:v>6.3119999999999999E-3</c:v>
                </c:pt>
                <c:pt idx="226">
                  <c:v>6.0590000000000001E-3</c:v>
                </c:pt>
                <c:pt idx="227">
                  <c:v>5.9899999999999997E-3</c:v>
                </c:pt>
                <c:pt idx="228">
                  <c:v>6.0489999999999997E-3</c:v>
                </c:pt>
                <c:pt idx="229">
                  <c:v>5.182E-3</c:v>
                </c:pt>
                <c:pt idx="230">
                  <c:v>6.4840000000000002E-3</c:v>
                </c:pt>
                <c:pt idx="231">
                  <c:v>5.45E-3</c:v>
                </c:pt>
                <c:pt idx="232">
                  <c:v>5.7039999999999999E-3</c:v>
                </c:pt>
                <c:pt idx="233">
                  <c:v>5.7460000000000002E-3</c:v>
                </c:pt>
                <c:pt idx="234">
                  <c:v>6.0749999999999997E-3</c:v>
                </c:pt>
                <c:pt idx="235">
                  <c:v>5.8859999999999997E-3</c:v>
                </c:pt>
                <c:pt idx="236">
                  <c:v>7.3419999999999996E-3</c:v>
                </c:pt>
                <c:pt idx="237">
                  <c:v>6.6680000000000003E-3</c:v>
                </c:pt>
                <c:pt idx="238">
                  <c:v>6.7510000000000001E-3</c:v>
                </c:pt>
                <c:pt idx="239">
                  <c:v>6.2449999999999997E-3</c:v>
                </c:pt>
                <c:pt idx="240">
                  <c:v>6.9449999999999998E-3</c:v>
                </c:pt>
                <c:pt idx="241">
                  <c:v>5.9069999999999999E-3</c:v>
                </c:pt>
                <c:pt idx="242">
                  <c:v>6.0070000000000002E-3</c:v>
                </c:pt>
                <c:pt idx="243">
                  <c:v>6.816E-3</c:v>
                </c:pt>
                <c:pt idx="244">
                  <c:v>6.1399999999999996E-3</c:v>
                </c:pt>
                <c:pt idx="245">
                  <c:v>6.4850000000000003E-3</c:v>
                </c:pt>
                <c:pt idx="246">
                  <c:v>6.5779999999999996E-3</c:v>
                </c:pt>
                <c:pt idx="247">
                  <c:v>7.1050000000000002E-3</c:v>
                </c:pt>
                <c:pt idx="248">
                  <c:v>6.2350000000000001E-3</c:v>
                </c:pt>
                <c:pt idx="249">
                  <c:v>6.5960000000000003E-3</c:v>
                </c:pt>
                <c:pt idx="250">
                  <c:v>7.1650000000000004E-3</c:v>
                </c:pt>
                <c:pt idx="251">
                  <c:v>6.914E-3</c:v>
                </c:pt>
                <c:pt idx="252">
                  <c:v>7.4159999999999998E-3</c:v>
                </c:pt>
                <c:pt idx="253">
                  <c:v>6.5669999999999999E-3</c:v>
                </c:pt>
                <c:pt idx="254">
                  <c:v>6.2810000000000001E-3</c:v>
                </c:pt>
                <c:pt idx="255">
                  <c:v>7.4409999999999997E-3</c:v>
                </c:pt>
                <c:pt idx="256">
                  <c:v>7.0780000000000001E-3</c:v>
                </c:pt>
                <c:pt idx="257">
                  <c:v>6.6670000000000002E-3</c:v>
                </c:pt>
                <c:pt idx="258">
                  <c:v>6.9890000000000004E-3</c:v>
                </c:pt>
                <c:pt idx="259">
                  <c:v>6.6649999999999999E-3</c:v>
                </c:pt>
                <c:pt idx="260">
                  <c:v>7.254E-3</c:v>
                </c:pt>
                <c:pt idx="261">
                  <c:v>7.0679999999999996E-3</c:v>
                </c:pt>
                <c:pt idx="262">
                  <c:v>7.561E-3</c:v>
                </c:pt>
                <c:pt idx="263">
                  <c:v>6.973E-3</c:v>
                </c:pt>
                <c:pt idx="264">
                  <c:v>7.0949999999999997E-3</c:v>
                </c:pt>
                <c:pt idx="265">
                  <c:v>5.9930000000000001E-3</c:v>
                </c:pt>
                <c:pt idx="266">
                  <c:v>6.8300000000000001E-3</c:v>
                </c:pt>
                <c:pt idx="267">
                  <c:v>6.7970000000000001E-3</c:v>
                </c:pt>
                <c:pt idx="268">
                  <c:v>6.9040000000000004E-3</c:v>
                </c:pt>
                <c:pt idx="269">
                  <c:v>7.0730000000000003E-3</c:v>
                </c:pt>
                <c:pt idx="270">
                  <c:v>6.502E-3</c:v>
                </c:pt>
                <c:pt idx="271">
                  <c:v>6.685E-3</c:v>
                </c:pt>
                <c:pt idx="272">
                  <c:v>6.2350000000000001E-3</c:v>
                </c:pt>
                <c:pt idx="273">
                  <c:v>6.5560000000000002E-3</c:v>
                </c:pt>
                <c:pt idx="274">
                  <c:v>6.1500000000000001E-3</c:v>
                </c:pt>
                <c:pt idx="275">
                  <c:v>6.8250000000000003E-3</c:v>
                </c:pt>
                <c:pt idx="276">
                  <c:v>6.7219999999999997E-3</c:v>
                </c:pt>
                <c:pt idx="277">
                  <c:v>6.5550000000000001E-3</c:v>
                </c:pt>
                <c:pt idx="278">
                  <c:v>6.875E-3</c:v>
                </c:pt>
                <c:pt idx="279">
                  <c:v>7.1999999999999998E-3</c:v>
                </c:pt>
                <c:pt idx="280">
                  <c:v>6.8649999999999996E-3</c:v>
                </c:pt>
                <c:pt idx="281">
                  <c:v>8.2229999999999994E-3</c:v>
                </c:pt>
                <c:pt idx="282">
                  <c:v>8.2900000000000005E-3</c:v>
                </c:pt>
                <c:pt idx="283">
                  <c:v>7.7970000000000001E-3</c:v>
                </c:pt>
                <c:pt idx="284">
                  <c:v>8.0319999999999992E-3</c:v>
                </c:pt>
                <c:pt idx="285">
                  <c:v>7.4830000000000001E-3</c:v>
                </c:pt>
                <c:pt idx="286">
                  <c:v>8.1930000000000006E-3</c:v>
                </c:pt>
                <c:pt idx="287">
                  <c:v>7.5770000000000004E-3</c:v>
                </c:pt>
                <c:pt idx="288">
                  <c:v>7.5310000000000004E-3</c:v>
                </c:pt>
                <c:pt idx="289">
                  <c:v>7.7520000000000002E-3</c:v>
                </c:pt>
                <c:pt idx="290">
                  <c:v>7.6119999999999998E-3</c:v>
                </c:pt>
                <c:pt idx="291">
                  <c:v>7.6360000000000004E-3</c:v>
                </c:pt>
                <c:pt idx="292">
                  <c:v>7.3839999999999999E-3</c:v>
                </c:pt>
                <c:pt idx="293">
                  <c:v>7.6509999999999998E-3</c:v>
                </c:pt>
                <c:pt idx="294">
                  <c:v>8.2839999999999997E-3</c:v>
                </c:pt>
                <c:pt idx="295">
                  <c:v>8.1849999999999996E-3</c:v>
                </c:pt>
                <c:pt idx="296">
                  <c:v>8.0350000000000005E-3</c:v>
                </c:pt>
                <c:pt idx="297">
                  <c:v>7.3819999999999997E-3</c:v>
                </c:pt>
                <c:pt idx="298">
                  <c:v>8.0099999999999998E-3</c:v>
                </c:pt>
                <c:pt idx="299">
                  <c:v>7.737E-3</c:v>
                </c:pt>
                <c:pt idx="300">
                  <c:v>7.3920000000000001E-3</c:v>
                </c:pt>
                <c:pt idx="301">
                  <c:v>7.9609999999999993E-3</c:v>
                </c:pt>
                <c:pt idx="302">
                  <c:v>8.0149999999999996E-3</c:v>
                </c:pt>
                <c:pt idx="303">
                  <c:v>7.8879999999999992E-3</c:v>
                </c:pt>
                <c:pt idx="304">
                  <c:v>7.731E-3</c:v>
                </c:pt>
                <c:pt idx="305">
                  <c:v>8.1630000000000001E-3</c:v>
                </c:pt>
                <c:pt idx="306">
                  <c:v>7.8820000000000001E-3</c:v>
                </c:pt>
                <c:pt idx="307">
                  <c:v>7.3280000000000003E-3</c:v>
                </c:pt>
                <c:pt idx="308">
                  <c:v>8.1209999999999997E-3</c:v>
                </c:pt>
                <c:pt idx="309">
                  <c:v>7.9869999999999993E-3</c:v>
                </c:pt>
                <c:pt idx="310">
                  <c:v>7.3860000000000002E-3</c:v>
                </c:pt>
                <c:pt idx="311">
                  <c:v>7.4819999999999999E-3</c:v>
                </c:pt>
                <c:pt idx="312">
                  <c:v>7.6449999999999999E-3</c:v>
                </c:pt>
                <c:pt idx="313">
                  <c:v>7.6059999999999999E-3</c:v>
                </c:pt>
                <c:pt idx="314">
                  <c:v>7.5979999999999997E-3</c:v>
                </c:pt>
                <c:pt idx="315">
                  <c:v>7.5929999999999999E-3</c:v>
                </c:pt>
                <c:pt idx="316">
                  <c:v>7.2560000000000003E-3</c:v>
                </c:pt>
                <c:pt idx="317">
                  <c:v>7.8969999999999995E-3</c:v>
                </c:pt>
                <c:pt idx="318">
                  <c:v>7.4679999999999998E-3</c:v>
                </c:pt>
                <c:pt idx="319">
                  <c:v>7.757E-3</c:v>
                </c:pt>
                <c:pt idx="320">
                  <c:v>7.7850000000000003E-3</c:v>
                </c:pt>
                <c:pt idx="321">
                  <c:v>8.2520000000000007E-3</c:v>
                </c:pt>
                <c:pt idx="322">
                  <c:v>7.9810000000000002E-3</c:v>
                </c:pt>
                <c:pt idx="323">
                  <c:v>7.4900000000000001E-3</c:v>
                </c:pt>
                <c:pt idx="324">
                  <c:v>7.5449999999999996E-3</c:v>
                </c:pt>
                <c:pt idx="325">
                  <c:v>7.6080000000000002E-3</c:v>
                </c:pt>
                <c:pt idx="326">
                  <c:v>7.7079999999999996E-3</c:v>
                </c:pt>
                <c:pt idx="327">
                  <c:v>7.8370000000000002E-3</c:v>
                </c:pt>
                <c:pt idx="328">
                  <c:v>7.8709999999999995E-3</c:v>
                </c:pt>
                <c:pt idx="329">
                  <c:v>7.5040000000000003E-3</c:v>
                </c:pt>
                <c:pt idx="330">
                  <c:v>7.9039999999999996E-3</c:v>
                </c:pt>
                <c:pt idx="331">
                  <c:v>8.2089999999999993E-3</c:v>
                </c:pt>
                <c:pt idx="332">
                  <c:v>8.0669999999999995E-3</c:v>
                </c:pt>
                <c:pt idx="333">
                  <c:v>8.3669999999999994E-3</c:v>
                </c:pt>
                <c:pt idx="334">
                  <c:v>9.0930000000000004E-3</c:v>
                </c:pt>
                <c:pt idx="335">
                  <c:v>9.1020000000000007E-3</c:v>
                </c:pt>
                <c:pt idx="336">
                  <c:v>9.9590000000000008E-3</c:v>
                </c:pt>
                <c:pt idx="337">
                  <c:v>9.8019999999999999E-3</c:v>
                </c:pt>
                <c:pt idx="338">
                  <c:v>1.0187999999999999E-2</c:v>
                </c:pt>
                <c:pt idx="339">
                  <c:v>9.7149999999999997E-3</c:v>
                </c:pt>
                <c:pt idx="340">
                  <c:v>9.8239999999999994E-3</c:v>
                </c:pt>
                <c:pt idx="341">
                  <c:v>9.5499999999999995E-3</c:v>
                </c:pt>
                <c:pt idx="342">
                  <c:v>9.9640000000000006E-3</c:v>
                </c:pt>
                <c:pt idx="343">
                  <c:v>9.8569999999999994E-3</c:v>
                </c:pt>
                <c:pt idx="344">
                  <c:v>9.7199999999999995E-3</c:v>
                </c:pt>
                <c:pt idx="345">
                  <c:v>9.0889999999999999E-3</c:v>
                </c:pt>
                <c:pt idx="346">
                  <c:v>9.3980000000000001E-3</c:v>
                </c:pt>
                <c:pt idx="347">
                  <c:v>9.2659999999999999E-3</c:v>
                </c:pt>
                <c:pt idx="348">
                  <c:v>9.5359999999999993E-3</c:v>
                </c:pt>
                <c:pt idx="349">
                  <c:v>9.417E-3</c:v>
                </c:pt>
                <c:pt idx="350">
                  <c:v>9.1380000000000003E-3</c:v>
                </c:pt>
                <c:pt idx="351">
                  <c:v>9.0519999999999993E-3</c:v>
                </c:pt>
                <c:pt idx="352">
                  <c:v>9.1999999999999998E-3</c:v>
                </c:pt>
                <c:pt idx="353">
                  <c:v>9.4120000000000002E-3</c:v>
                </c:pt>
                <c:pt idx="354">
                  <c:v>9.6930000000000002E-3</c:v>
                </c:pt>
                <c:pt idx="355">
                  <c:v>9.6030000000000004E-3</c:v>
                </c:pt>
                <c:pt idx="356">
                  <c:v>9.1940000000000008E-3</c:v>
                </c:pt>
                <c:pt idx="357">
                  <c:v>9.4730000000000005E-3</c:v>
                </c:pt>
                <c:pt idx="358">
                  <c:v>9.3050000000000008E-3</c:v>
                </c:pt>
                <c:pt idx="359">
                  <c:v>9.5949999999999994E-3</c:v>
                </c:pt>
                <c:pt idx="360">
                  <c:v>9.6839999999999999E-3</c:v>
                </c:pt>
                <c:pt idx="361">
                  <c:v>9.7140000000000004E-3</c:v>
                </c:pt>
                <c:pt idx="362">
                  <c:v>9.051E-3</c:v>
                </c:pt>
                <c:pt idx="363">
                  <c:v>9.4230000000000008E-3</c:v>
                </c:pt>
                <c:pt idx="364">
                  <c:v>9.8969999999999995E-3</c:v>
                </c:pt>
                <c:pt idx="365">
                  <c:v>9.5180000000000004E-3</c:v>
                </c:pt>
                <c:pt idx="366">
                  <c:v>9.3980000000000001E-3</c:v>
                </c:pt>
                <c:pt idx="367">
                  <c:v>9.2090000000000002E-3</c:v>
                </c:pt>
                <c:pt idx="368">
                  <c:v>9.2189999999999998E-3</c:v>
                </c:pt>
                <c:pt idx="369">
                  <c:v>9.4680000000000007E-3</c:v>
                </c:pt>
                <c:pt idx="370">
                  <c:v>9.3519999999999992E-3</c:v>
                </c:pt>
                <c:pt idx="371">
                  <c:v>9.6880000000000004E-3</c:v>
                </c:pt>
                <c:pt idx="372">
                  <c:v>9.6729999999999993E-3</c:v>
                </c:pt>
                <c:pt idx="373">
                  <c:v>9.2079999999999992E-3</c:v>
                </c:pt>
                <c:pt idx="374">
                  <c:v>9.5270000000000007E-3</c:v>
                </c:pt>
                <c:pt idx="375">
                  <c:v>1.0034E-2</c:v>
                </c:pt>
                <c:pt idx="376">
                  <c:v>9.4610000000000007E-3</c:v>
                </c:pt>
                <c:pt idx="377">
                  <c:v>9.3390000000000001E-3</c:v>
                </c:pt>
                <c:pt idx="378">
                  <c:v>9.6100000000000005E-3</c:v>
                </c:pt>
                <c:pt idx="379">
                  <c:v>8.966E-3</c:v>
                </c:pt>
                <c:pt idx="380">
                  <c:v>9.4909999999999994E-3</c:v>
                </c:pt>
                <c:pt idx="381">
                  <c:v>9.9740000000000002E-3</c:v>
                </c:pt>
                <c:pt idx="382">
                  <c:v>9.2540000000000001E-3</c:v>
                </c:pt>
                <c:pt idx="383">
                  <c:v>9.1509999999999994E-3</c:v>
                </c:pt>
                <c:pt idx="384">
                  <c:v>9.4330000000000004E-3</c:v>
                </c:pt>
                <c:pt idx="385">
                  <c:v>9.332E-3</c:v>
                </c:pt>
                <c:pt idx="386">
                  <c:v>1.0214000000000001E-2</c:v>
                </c:pt>
                <c:pt idx="387">
                  <c:v>1.0066E-2</c:v>
                </c:pt>
                <c:pt idx="388">
                  <c:v>1.048E-2</c:v>
                </c:pt>
                <c:pt idx="389">
                  <c:v>1.0595E-2</c:v>
                </c:pt>
                <c:pt idx="390">
                  <c:v>1.0433E-2</c:v>
                </c:pt>
                <c:pt idx="391">
                  <c:v>1.0843E-2</c:v>
                </c:pt>
                <c:pt idx="392">
                  <c:v>1.0418999999999999E-2</c:v>
                </c:pt>
                <c:pt idx="393">
                  <c:v>1.0173E-2</c:v>
                </c:pt>
                <c:pt idx="394">
                  <c:v>1.1077999999999999E-2</c:v>
                </c:pt>
                <c:pt idx="395">
                  <c:v>1.0892000000000001E-2</c:v>
                </c:pt>
                <c:pt idx="396">
                  <c:v>1.0101000000000001E-2</c:v>
                </c:pt>
                <c:pt idx="397">
                  <c:v>9.5160000000000002E-3</c:v>
                </c:pt>
                <c:pt idx="398">
                  <c:v>9.9489999999999995E-3</c:v>
                </c:pt>
                <c:pt idx="399">
                  <c:v>1.0055E-2</c:v>
                </c:pt>
                <c:pt idx="400">
                  <c:v>1.0377000000000001E-2</c:v>
                </c:pt>
                <c:pt idx="401">
                  <c:v>1.0553999999999999E-2</c:v>
                </c:pt>
                <c:pt idx="402">
                  <c:v>1.0599000000000001E-2</c:v>
                </c:pt>
                <c:pt idx="403">
                  <c:v>1.0642E-2</c:v>
                </c:pt>
                <c:pt idx="404">
                  <c:v>1.0222999999999999E-2</c:v>
                </c:pt>
                <c:pt idx="405">
                  <c:v>1.0055E-2</c:v>
                </c:pt>
                <c:pt idx="406">
                  <c:v>1.0290000000000001E-2</c:v>
                </c:pt>
                <c:pt idx="407">
                  <c:v>1.0174000000000001E-2</c:v>
                </c:pt>
                <c:pt idx="408">
                  <c:v>1.0328E-2</c:v>
                </c:pt>
                <c:pt idx="409">
                  <c:v>1.0401000000000001E-2</c:v>
                </c:pt>
                <c:pt idx="410">
                  <c:v>1.0376E-2</c:v>
                </c:pt>
                <c:pt idx="411">
                  <c:v>1.0333999999999999E-2</c:v>
                </c:pt>
                <c:pt idx="412">
                  <c:v>1.0448000000000001E-2</c:v>
                </c:pt>
                <c:pt idx="413">
                  <c:v>1.0536999999999999E-2</c:v>
                </c:pt>
                <c:pt idx="414">
                  <c:v>1.0617E-2</c:v>
                </c:pt>
                <c:pt idx="415">
                  <c:v>1.0548999999999999E-2</c:v>
                </c:pt>
                <c:pt idx="416">
                  <c:v>1.0668E-2</c:v>
                </c:pt>
                <c:pt idx="417">
                  <c:v>1.0636E-2</c:v>
                </c:pt>
                <c:pt idx="418">
                  <c:v>1.0616E-2</c:v>
                </c:pt>
                <c:pt idx="419">
                  <c:v>1.0407E-2</c:v>
                </c:pt>
                <c:pt idx="420">
                  <c:v>1.0324E-2</c:v>
                </c:pt>
                <c:pt idx="421">
                  <c:v>1.0636E-2</c:v>
                </c:pt>
                <c:pt idx="422">
                  <c:v>1.0893999999999999E-2</c:v>
                </c:pt>
                <c:pt idx="423">
                  <c:v>1.073E-2</c:v>
                </c:pt>
                <c:pt idx="424">
                  <c:v>1.0527E-2</c:v>
                </c:pt>
                <c:pt idx="425">
                  <c:v>1.0869E-2</c:v>
                </c:pt>
                <c:pt idx="426">
                  <c:v>1.0253999999999999E-2</c:v>
                </c:pt>
                <c:pt idx="427">
                  <c:v>1.0166E-2</c:v>
                </c:pt>
                <c:pt idx="428">
                  <c:v>1.0940999999999999E-2</c:v>
                </c:pt>
                <c:pt idx="429">
                  <c:v>1.0933E-2</c:v>
                </c:pt>
                <c:pt idx="430">
                  <c:v>1.0255999999999999E-2</c:v>
                </c:pt>
                <c:pt idx="431">
                  <c:v>1.078E-2</c:v>
                </c:pt>
                <c:pt idx="432">
                  <c:v>1.0337000000000001E-2</c:v>
                </c:pt>
                <c:pt idx="433">
                  <c:v>1.0907E-2</c:v>
                </c:pt>
                <c:pt idx="434">
                  <c:v>1.0499E-2</c:v>
                </c:pt>
                <c:pt idx="435">
                  <c:v>1.0704E-2</c:v>
                </c:pt>
                <c:pt idx="436">
                  <c:v>1.1004E-2</c:v>
                </c:pt>
                <c:pt idx="437">
                  <c:v>1.1542999999999999E-2</c:v>
                </c:pt>
                <c:pt idx="438">
                  <c:v>1.1547E-2</c:v>
                </c:pt>
                <c:pt idx="439">
                  <c:v>1.0998000000000001E-2</c:v>
                </c:pt>
                <c:pt idx="440">
                  <c:v>1.1859E-2</c:v>
                </c:pt>
                <c:pt idx="441">
                  <c:v>1.1599999999999999E-2</c:v>
                </c:pt>
                <c:pt idx="442">
                  <c:v>1.0943E-2</c:v>
                </c:pt>
                <c:pt idx="443">
                  <c:v>1.1577E-2</c:v>
                </c:pt>
                <c:pt idx="444">
                  <c:v>1.0514000000000001E-2</c:v>
                </c:pt>
                <c:pt idx="445">
                  <c:v>1.056E-2</c:v>
                </c:pt>
                <c:pt idx="446">
                  <c:v>1.1011999999999999E-2</c:v>
                </c:pt>
                <c:pt idx="447">
                  <c:v>1.1133000000000001E-2</c:v>
                </c:pt>
                <c:pt idx="448">
                  <c:v>1.0983E-2</c:v>
                </c:pt>
                <c:pt idx="449">
                  <c:v>1.1195E-2</c:v>
                </c:pt>
                <c:pt idx="450">
                  <c:v>1.1278E-2</c:v>
                </c:pt>
                <c:pt idx="451">
                  <c:v>1.0737999999999999E-2</c:v>
                </c:pt>
                <c:pt idx="452">
                  <c:v>1.1032999999999999E-2</c:v>
                </c:pt>
                <c:pt idx="453">
                  <c:v>1.1258000000000001E-2</c:v>
                </c:pt>
                <c:pt idx="454">
                  <c:v>1.1129E-2</c:v>
                </c:pt>
                <c:pt idx="455">
                  <c:v>1.0888E-2</c:v>
                </c:pt>
                <c:pt idx="456">
                  <c:v>1.1927E-2</c:v>
                </c:pt>
                <c:pt idx="457">
                  <c:v>1.0736000000000001E-2</c:v>
                </c:pt>
                <c:pt idx="458">
                  <c:v>1.0821000000000001E-2</c:v>
                </c:pt>
                <c:pt idx="459">
                  <c:v>1.1972E-2</c:v>
                </c:pt>
                <c:pt idx="460">
                  <c:v>1.1679E-2</c:v>
                </c:pt>
                <c:pt idx="461">
                  <c:v>1.1205E-2</c:v>
                </c:pt>
                <c:pt idx="462">
                  <c:v>1.1205E-2</c:v>
                </c:pt>
                <c:pt idx="463">
                  <c:v>1.1417999999999999E-2</c:v>
                </c:pt>
                <c:pt idx="464">
                  <c:v>1.1429999999999999E-2</c:v>
                </c:pt>
                <c:pt idx="465">
                  <c:v>1.1623E-2</c:v>
                </c:pt>
                <c:pt idx="466">
                  <c:v>1.1783E-2</c:v>
                </c:pt>
                <c:pt idx="467">
                  <c:v>1.1872000000000001E-2</c:v>
                </c:pt>
                <c:pt idx="468">
                  <c:v>1.1820000000000001E-2</c:v>
                </c:pt>
                <c:pt idx="469">
                  <c:v>1.193E-2</c:v>
                </c:pt>
                <c:pt idx="470">
                  <c:v>1.1886000000000001E-2</c:v>
                </c:pt>
                <c:pt idx="471">
                  <c:v>1.2024999999999999E-2</c:v>
                </c:pt>
                <c:pt idx="472">
                  <c:v>1.1903E-2</c:v>
                </c:pt>
                <c:pt idx="473">
                  <c:v>1.1733E-2</c:v>
                </c:pt>
                <c:pt idx="474">
                  <c:v>1.1956E-2</c:v>
                </c:pt>
                <c:pt idx="475">
                  <c:v>1.2102E-2</c:v>
                </c:pt>
                <c:pt idx="476">
                  <c:v>1.209E-2</c:v>
                </c:pt>
                <c:pt idx="477">
                  <c:v>1.2092E-2</c:v>
                </c:pt>
                <c:pt idx="478">
                  <c:v>1.1705E-2</c:v>
                </c:pt>
                <c:pt idx="479">
                  <c:v>1.1795E-2</c:v>
                </c:pt>
                <c:pt idx="480">
                  <c:v>1.1967999999999999E-2</c:v>
                </c:pt>
                <c:pt idx="481">
                  <c:v>1.2038E-2</c:v>
                </c:pt>
                <c:pt idx="482">
                  <c:v>1.1878E-2</c:v>
                </c:pt>
                <c:pt idx="483">
                  <c:v>1.1828999999999999E-2</c:v>
                </c:pt>
                <c:pt idx="484">
                  <c:v>1.1826E-2</c:v>
                </c:pt>
                <c:pt idx="485">
                  <c:v>1.1813000000000001E-2</c:v>
                </c:pt>
                <c:pt idx="486">
                  <c:v>1.1823999999999999E-2</c:v>
                </c:pt>
                <c:pt idx="487">
                  <c:v>1.1958999999999999E-2</c:v>
                </c:pt>
                <c:pt idx="488">
                  <c:v>1.2064E-2</c:v>
                </c:pt>
                <c:pt idx="489">
                  <c:v>1.2095E-2</c:v>
                </c:pt>
                <c:pt idx="490">
                  <c:v>1.2147E-2</c:v>
                </c:pt>
                <c:pt idx="491">
                  <c:v>1.1986999999999999E-2</c:v>
                </c:pt>
                <c:pt idx="492">
                  <c:v>1.1828999999999999E-2</c:v>
                </c:pt>
                <c:pt idx="493">
                  <c:v>1.2042000000000001E-2</c:v>
                </c:pt>
                <c:pt idx="494">
                  <c:v>1.1998999999999999E-2</c:v>
                </c:pt>
                <c:pt idx="495">
                  <c:v>1.2106E-2</c:v>
                </c:pt>
                <c:pt idx="496">
                  <c:v>1.1866E-2</c:v>
                </c:pt>
                <c:pt idx="497">
                  <c:v>1.0893E-2</c:v>
                </c:pt>
                <c:pt idx="498">
                  <c:v>9.9830000000000006E-3</c:v>
                </c:pt>
                <c:pt idx="499">
                  <c:v>9.0609999999999996E-3</c:v>
                </c:pt>
                <c:pt idx="500">
                  <c:v>8.3960000000000007E-3</c:v>
                </c:pt>
                <c:pt idx="501">
                  <c:v>7.4900000000000001E-3</c:v>
                </c:pt>
                <c:pt idx="502">
                  <c:v>6.7970000000000001E-3</c:v>
                </c:pt>
                <c:pt idx="503">
                  <c:v>6.2960000000000004E-3</c:v>
                </c:pt>
                <c:pt idx="504">
                  <c:v>6.071E-3</c:v>
                </c:pt>
                <c:pt idx="505">
                  <c:v>5.9100000000000003E-3</c:v>
                </c:pt>
                <c:pt idx="506">
                  <c:v>5.2300000000000003E-3</c:v>
                </c:pt>
                <c:pt idx="507">
                  <c:v>5.339E-3</c:v>
                </c:pt>
                <c:pt idx="508">
                  <c:v>5.4310000000000001E-3</c:v>
                </c:pt>
                <c:pt idx="509">
                  <c:v>5.2560000000000003E-3</c:v>
                </c:pt>
                <c:pt idx="510">
                  <c:v>4.9459999999999999E-3</c:v>
                </c:pt>
                <c:pt idx="511">
                  <c:v>4.8630000000000001E-3</c:v>
                </c:pt>
                <c:pt idx="512">
                  <c:v>4.797E-3</c:v>
                </c:pt>
                <c:pt idx="513">
                  <c:v>4.6210000000000001E-3</c:v>
                </c:pt>
                <c:pt idx="514">
                  <c:v>4.5630000000000002E-3</c:v>
                </c:pt>
                <c:pt idx="515">
                  <c:v>4.3870000000000003E-3</c:v>
                </c:pt>
                <c:pt idx="516">
                  <c:v>4.346E-3</c:v>
                </c:pt>
                <c:pt idx="517">
                  <c:v>4.1660000000000004E-3</c:v>
                </c:pt>
                <c:pt idx="518">
                  <c:v>4.143E-3</c:v>
                </c:pt>
                <c:pt idx="519">
                  <c:v>4.1060000000000003E-3</c:v>
                </c:pt>
                <c:pt idx="520">
                  <c:v>4.0229999999999997E-3</c:v>
                </c:pt>
                <c:pt idx="521">
                  <c:v>4.2240000000000003E-3</c:v>
                </c:pt>
                <c:pt idx="522">
                  <c:v>3.8630000000000001E-3</c:v>
                </c:pt>
                <c:pt idx="523">
                  <c:v>3.8289999999999999E-3</c:v>
                </c:pt>
                <c:pt idx="524">
                  <c:v>3.7940000000000001E-3</c:v>
                </c:pt>
                <c:pt idx="525">
                  <c:v>3.725E-3</c:v>
                </c:pt>
                <c:pt idx="526">
                  <c:v>3.8300000000000001E-3</c:v>
                </c:pt>
                <c:pt idx="527">
                  <c:v>3.6900000000000001E-3</c:v>
                </c:pt>
                <c:pt idx="528">
                  <c:v>3.6900000000000001E-3</c:v>
                </c:pt>
                <c:pt idx="529">
                  <c:v>3.6410000000000001E-3</c:v>
                </c:pt>
                <c:pt idx="530">
                  <c:v>3.5639999999999999E-3</c:v>
                </c:pt>
                <c:pt idx="531">
                  <c:v>3.7130000000000002E-3</c:v>
                </c:pt>
                <c:pt idx="532">
                  <c:v>3.5690000000000001E-3</c:v>
                </c:pt>
                <c:pt idx="533">
                  <c:v>3.4880000000000002E-3</c:v>
                </c:pt>
                <c:pt idx="534">
                  <c:v>3.2959999999999999E-3</c:v>
                </c:pt>
                <c:pt idx="535">
                  <c:v>3.3519999999999999E-3</c:v>
                </c:pt>
                <c:pt idx="536">
                  <c:v>3.5620000000000001E-3</c:v>
                </c:pt>
                <c:pt idx="537">
                  <c:v>3.4480000000000001E-3</c:v>
                </c:pt>
                <c:pt idx="538">
                  <c:v>3.5279999999999999E-3</c:v>
                </c:pt>
                <c:pt idx="539">
                  <c:v>3.5899999999999999E-3</c:v>
                </c:pt>
                <c:pt idx="540">
                  <c:v>3.4710000000000001E-3</c:v>
                </c:pt>
                <c:pt idx="541">
                  <c:v>3.5890000000000002E-3</c:v>
                </c:pt>
                <c:pt idx="542">
                  <c:v>3.62E-3</c:v>
                </c:pt>
                <c:pt idx="543">
                  <c:v>3.5469999999999998E-3</c:v>
                </c:pt>
                <c:pt idx="544">
                  <c:v>3.591E-3</c:v>
                </c:pt>
                <c:pt idx="545">
                  <c:v>3.4659999999999999E-3</c:v>
                </c:pt>
                <c:pt idx="546">
                  <c:v>3.545E-3</c:v>
                </c:pt>
                <c:pt idx="547">
                  <c:v>3.5959999999999998E-3</c:v>
                </c:pt>
                <c:pt idx="548">
                  <c:v>3.6219999999999998E-3</c:v>
                </c:pt>
                <c:pt idx="549">
                  <c:v>3.3739999999999998E-3</c:v>
                </c:pt>
                <c:pt idx="550">
                  <c:v>3.4480000000000001E-3</c:v>
                </c:pt>
                <c:pt idx="551">
                  <c:v>3.519E-3</c:v>
                </c:pt>
                <c:pt idx="552">
                  <c:v>3.4220000000000001E-3</c:v>
                </c:pt>
                <c:pt idx="553">
                  <c:v>3.4039999999999999E-3</c:v>
                </c:pt>
                <c:pt idx="554">
                  <c:v>3.5699999999999998E-3</c:v>
                </c:pt>
                <c:pt idx="555">
                  <c:v>3.2889999999999998E-3</c:v>
                </c:pt>
                <c:pt idx="556">
                  <c:v>3.3639999999999998E-3</c:v>
                </c:pt>
                <c:pt idx="557">
                  <c:v>3.4529999999999999E-3</c:v>
                </c:pt>
                <c:pt idx="558">
                  <c:v>3.5140000000000002E-3</c:v>
                </c:pt>
                <c:pt idx="559">
                  <c:v>3.1719999999999999E-3</c:v>
                </c:pt>
                <c:pt idx="560">
                  <c:v>3.2290000000000001E-3</c:v>
                </c:pt>
                <c:pt idx="561">
                  <c:v>3.3040000000000001E-3</c:v>
                </c:pt>
                <c:pt idx="562">
                  <c:v>3.3349999999999999E-3</c:v>
                </c:pt>
                <c:pt idx="563">
                  <c:v>3.4169999999999999E-3</c:v>
                </c:pt>
                <c:pt idx="564">
                  <c:v>3.3449999999999999E-3</c:v>
                </c:pt>
                <c:pt idx="565">
                  <c:v>3.0720000000000001E-3</c:v>
                </c:pt>
                <c:pt idx="566">
                  <c:v>3.117E-3</c:v>
                </c:pt>
                <c:pt idx="567">
                  <c:v>3.124E-3</c:v>
                </c:pt>
                <c:pt idx="568">
                  <c:v>3.2160000000000001E-3</c:v>
                </c:pt>
                <c:pt idx="569">
                  <c:v>3.1099999999999999E-3</c:v>
                </c:pt>
                <c:pt idx="570">
                  <c:v>3.1250000000000002E-3</c:v>
                </c:pt>
                <c:pt idx="571">
                  <c:v>3.1640000000000001E-3</c:v>
                </c:pt>
                <c:pt idx="572">
                  <c:v>3.107E-3</c:v>
                </c:pt>
                <c:pt idx="573">
                  <c:v>2.996E-3</c:v>
                </c:pt>
                <c:pt idx="574">
                  <c:v>2.9629999999999999E-3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D-4303-B6CF-4ACD059C7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923567"/>
        <c:axId val="1515924047"/>
      </c:scatterChart>
      <c:valAx>
        <c:axId val="151592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5924047"/>
        <c:crosses val="autoZero"/>
        <c:crossBetween val="midCat"/>
      </c:valAx>
      <c:valAx>
        <c:axId val="15159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592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'20240627-6D000000710BF641___ HY'!$J$10:$J$584</c:f>
              <c:numCache>
                <c:formatCode>General</c:formatCode>
                <c:ptCount val="575"/>
                <c:pt idx="0">
                  <c:v>5.6065788678605548</c:v>
                </c:pt>
                <c:pt idx="1">
                  <c:v>5.3858377484368596</c:v>
                </c:pt>
                <c:pt idx="2">
                  <c:v>5.536420833213902</c:v>
                </c:pt>
                <c:pt idx="3">
                  <c:v>5.2956596851431579</c:v>
                </c:pt>
                <c:pt idx="4">
                  <c:v>5.1893166135589643</c:v>
                </c:pt>
                <c:pt idx="5">
                  <c:v>5.0591766120239985</c:v>
                </c:pt>
                <c:pt idx="6">
                  <c:v>5.1186493282090852</c:v>
                </c:pt>
                <c:pt idx="7">
                  <c:v>5.0424545164160834</c:v>
                </c:pt>
                <c:pt idx="8">
                  <c:v>5.1015885217045209</c:v>
                </c:pt>
                <c:pt idx="9">
                  <c:v>5.1251006074639189</c:v>
                </c:pt>
                <c:pt idx="10">
                  <c:v>5.1549811355343333</c:v>
                </c:pt>
                <c:pt idx="11">
                  <c:v>5.2151936491964683</c:v>
                </c:pt>
                <c:pt idx="12">
                  <c:v>5.2014396618255025</c:v>
                </c:pt>
                <c:pt idx="13">
                  <c:v>5.3441532771525688</c:v>
                </c:pt>
                <c:pt idx="14">
                  <c:v>5.6339616234526284</c:v>
                </c:pt>
                <c:pt idx="15">
                  <c:v>5.7953518729514908</c:v>
                </c:pt>
                <c:pt idx="16">
                  <c:v>6.2920940318722627</c:v>
                </c:pt>
                <c:pt idx="17">
                  <c:v>6.5237048551313634</c:v>
                </c:pt>
                <c:pt idx="18">
                  <c:v>6.3650047532477405</c:v>
                </c:pt>
                <c:pt idx="19">
                  <c:v>6.1976376913007138</c:v>
                </c:pt>
                <c:pt idx="20">
                  <c:v>5.9552347703639414</c:v>
                </c:pt>
                <c:pt idx="21">
                  <c:v>5.7687882994356299</c:v>
                </c:pt>
                <c:pt idx="22">
                  <c:v>5.765351506500858</c:v>
                </c:pt>
                <c:pt idx="23">
                  <c:v>5.6249291385283824</c:v>
                </c:pt>
                <c:pt idx="24">
                  <c:v>5.5699087857791305</c:v>
                </c:pt>
                <c:pt idx="25">
                  <c:v>5.5580360488204112</c:v>
                </c:pt>
                <c:pt idx="26">
                  <c:v>5.7799512577926704</c:v>
                </c:pt>
                <c:pt idx="27">
                  <c:v>5.4444064113915607</c:v>
                </c:pt>
                <c:pt idx="28">
                  <c:v>5.4451208645289757</c:v>
                </c:pt>
                <c:pt idx="29">
                  <c:v>5.1384173786206082</c:v>
                </c:pt>
                <c:pt idx="30">
                  <c:v>5.143279764916981</c:v>
                </c:pt>
                <c:pt idx="31">
                  <c:v>4.9510950666316571</c:v>
                </c:pt>
                <c:pt idx="32">
                  <c:v>4.9487546822113702</c:v>
                </c:pt>
                <c:pt idx="33">
                  <c:v>4.7473055052622914</c:v>
                </c:pt>
                <c:pt idx="34">
                  <c:v>4.8856203625562653</c:v>
                </c:pt>
                <c:pt idx="35">
                  <c:v>4.8256359179148323</c:v>
                </c:pt>
                <c:pt idx="36">
                  <c:v>5.141381317030409</c:v>
                </c:pt>
                <c:pt idx="37">
                  <c:v>5.3750192172506894</c:v>
                </c:pt>
                <c:pt idx="38">
                  <c:v>5.9358776880577295</c:v>
                </c:pt>
                <c:pt idx="39">
                  <c:v>6.1166584856049493</c:v>
                </c:pt>
                <c:pt idx="40">
                  <c:v>6.4535138968856653</c:v>
                </c:pt>
                <c:pt idx="41">
                  <c:v>6.5791068179099801</c:v>
                </c:pt>
                <c:pt idx="42">
                  <c:v>6.6201835048523092</c:v>
                </c:pt>
                <c:pt idx="43">
                  <c:v>6.6304245629055414</c:v>
                </c:pt>
                <c:pt idx="44">
                  <c:v>6.5422766662666136</c:v>
                </c:pt>
                <c:pt idx="45">
                  <c:v>6.2370789564005324</c:v>
                </c:pt>
                <c:pt idx="46">
                  <c:v>6.1778486475168881</c:v>
                </c:pt>
                <c:pt idx="47">
                  <c:v>6.1792948860311991</c:v>
                </c:pt>
                <c:pt idx="48">
                  <c:v>5.9562455592855548</c:v>
                </c:pt>
                <c:pt idx="49">
                  <c:v>6.1180806878655547</c:v>
                </c:pt>
                <c:pt idx="50">
                  <c:v>5.9873409819084333</c:v>
                </c:pt>
                <c:pt idx="51">
                  <c:v>5.5589576648250567</c:v>
                </c:pt>
                <c:pt idx="52">
                  <c:v>5.6879671387485944</c:v>
                </c:pt>
                <c:pt idx="53">
                  <c:v>5.8827430185934935</c:v>
                </c:pt>
                <c:pt idx="54">
                  <c:v>5.4773617568396711</c:v>
                </c:pt>
                <c:pt idx="55">
                  <c:v>5.4101548641177128</c:v>
                </c:pt>
                <c:pt idx="56">
                  <c:v>5.8417120457689675</c:v>
                </c:pt>
                <c:pt idx="57">
                  <c:v>5.4341507402502023</c:v>
                </c:pt>
                <c:pt idx="58">
                  <c:v>5.5952573512794448</c:v>
                </c:pt>
                <c:pt idx="59">
                  <c:v>5.5266038868465683</c:v>
                </c:pt>
                <c:pt idx="60">
                  <c:v>5.8321258259123949</c:v>
                </c:pt>
                <c:pt idx="61">
                  <c:v>5.7244012800002366</c:v>
                </c:pt>
                <c:pt idx="62">
                  <c:v>5.8246089246429298</c:v>
                </c:pt>
                <c:pt idx="63">
                  <c:v>5.9607598682212695</c:v>
                </c:pt>
                <c:pt idx="64">
                  <c:v>5.9924202625304055</c:v>
                </c:pt>
                <c:pt idx="65">
                  <c:v>5.847041259870327</c:v>
                </c:pt>
                <c:pt idx="66">
                  <c:v>5.7052948050855914</c:v>
                </c:pt>
                <c:pt idx="67">
                  <c:v>5.5152523595353102</c:v>
                </c:pt>
                <c:pt idx="68">
                  <c:v>5.9808256106649154</c:v>
                </c:pt>
                <c:pt idx="69">
                  <c:v>5.7604742130280941</c:v>
                </c:pt>
                <c:pt idx="70">
                  <c:v>5.8995336988296447</c:v>
                </c:pt>
                <c:pt idx="71">
                  <c:v>5.718566407454504</c:v>
                </c:pt>
                <c:pt idx="72">
                  <c:v>5.8579549711744558</c:v>
                </c:pt>
                <c:pt idx="73">
                  <c:v>5.8579549711744558</c:v>
                </c:pt>
                <c:pt idx="74">
                  <c:v>6.3309575464866779</c:v>
                </c:pt>
                <c:pt idx="75">
                  <c:v>7.2788294906150908</c:v>
                </c:pt>
                <c:pt idx="76">
                  <c:v>8.2365066175532089</c:v>
                </c:pt>
                <c:pt idx="77">
                  <c:v>9.0931625218567547</c:v>
                </c:pt>
                <c:pt idx="78">
                  <c:v>9.7869082643285239</c:v>
                </c:pt>
                <c:pt idx="79">
                  <c:v>10.418632190057922</c:v>
                </c:pt>
                <c:pt idx="80">
                  <c:v>10.871686360878558</c:v>
                </c:pt>
                <c:pt idx="81">
                  <c:v>11.158804036191929</c:v>
                </c:pt>
                <c:pt idx="82">
                  <c:v>11.547312853422088</c:v>
                </c:pt>
                <c:pt idx="83">
                  <c:v>11.903408200476271</c:v>
                </c:pt>
                <c:pt idx="84">
                  <c:v>12.020876044559916</c:v>
                </c:pt>
                <c:pt idx="85">
                  <c:v>12.280506524315369</c:v>
                </c:pt>
                <c:pt idx="86">
                  <c:v>12.542472678830135</c:v>
                </c:pt>
                <c:pt idx="87">
                  <c:v>12.687471338192271</c:v>
                </c:pt>
                <c:pt idx="88">
                  <c:v>12.886334525311272</c:v>
                </c:pt>
                <c:pt idx="89">
                  <c:v>12.953530948766744</c:v>
                </c:pt>
                <c:pt idx="90">
                  <c:v>13.153431117729193</c:v>
                </c:pt>
                <c:pt idx="91">
                  <c:v>13.353331286691642</c:v>
                </c:pt>
                <c:pt idx="92">
                  <c:v>13.433291354276623</c:v>
                </c:pt>
                <c:pt idx="93">
                  <c:v>13.244288262125472</c:v>
                </c:pt>
                <c:pt idx="94">
                  <c:v>13.244288262125472</c:v>
                </c:pt>
                <c:pt idx="95">
                  <c:v>12.542472678830135</c:v>
                </c:pt>
                <c:pt idx="96">
                  <c:v>11.80817935030324</c:v>
                </c:pt>
                <c:pt idx="97">
                  <c:v>11.611376361131519</c:v>
                </c:pt>
                <c:pt idx="98">
                  <c:v>10.981606795782012</c:v>
                </c:pt>
                <c:pt idx="99">
                  <c:v>10.469919023935539</c:v>
                </c:pt>
                <c:pt idx="100">
                  <c:v>10.391197828266851</c:v>
                </c:pt>
                <c:pt idx="101">
                  <c:v>10.469919023935539</c:v>
                </c:pt>
                <c:pt idx="102">
                  <c:v>10.666722013107259</c:v>
                </c:pt>
                <c:pt idx="103">
                  <c:v>11.474186362336718</c:v>
                </c:pt>
                <c:pt idx="104">
                  <c:v>12.289744963954268</c:v>
                </c:pt>
                <c:pt idx="105">
                  <c:v>12.528380788497069</c:v>
                </c:pt>
                <c:pt idx="106">
                  <c:v>12.833590847389274</c:v>
                </c:pt>
                <c:pt idx="107">
                  <c:v>12.393810475671884</c:v>
                </c:pt>
                <c:pt idx="108">
                  <c:v>12.153930272916945</c:v>
                </c:pt>
                <c:pt idx="109">
                  <c:v>12.073970205331966</c:v>
                </c:pt>
                <c:pt idx="110">
                  <c:v>11.534064852902064</c:v>
                </c:pt>
                <c:pt idx="111">
                  <c:v>11.335201665783064</c:v>
                </c:pt>
                <c:pt idx="112">
                  <c:v>10.977247928968863</c:v>
                </c:pt>
                <c:pt idx="113">
                  <c:v>11.255656390935462</c:v>
                </c:pt>
                <c:pt idx="114">
                  <c:v>11.176111116087865</c:v>
                </c:pt>
                <c:pt idx="115">
                  <c:v>11.454519578054466</c:v>
                </c:pt>
                <c:pt idx="116">
                  <c:v>11.374974303206866</c:v>
                </c:pt>
                <c:pt idx="117">
                  <c:v>11.931791227140069</c:v>
                </c:pt>
                <c:pt idx="118">
                  <c:v>12.153930272916945</c:v>
                </c:pt>
                <c:pt idx="119">
                  <c:v>11.994010137746985</c:v>
                </c:pt>
                <c:pt idx="120">
                  <c:v>11.935940627720033</c:v>
                </c:pt>
                <c:pt idx="121">
                  <c:v>11.694810514028719</c:v>
                </c:pt>
                <c:pt idx="122">
                  <c:v>11.574245457183062</c:v>
                </c:pt>
                <c:pt idx="123">
                  <c:v>11.654622161746834</c:v>
                </c:pt>
                <c:pt idx="124">
                  <c:v>11.574245457183062</c:v>
                </c:pt>
                <c:pt idx="125">
                  <c:v>11.49386875261929</c:v>
                </c:pt>
                <c:pt idx="126">
                  <c:v>11.21255028664609</c:v>
                </c:pt>
                <c:pt idx="127">
                  <c:v>11.935940627720033</c:v>
                </c:pt>
                <c:pt idx="128">
                  <c:v>11.775187218592491</c:v>
                </c:pt>
                <c:pt idx="129">
                  <c:v>12.337824150538889</c:v>
                </c:pt>
                <c:pt idx="130">
                  <c:v>12.136882389129465</c:v>
                </c:pt>
                <c:pt idx="131">
                  <c:v>12.257447445975121</c:v>
                </c:pt>
                <c:pt idx="132">
                  <c:v>12.659330968793975</c:v>
                </c:pt>
                <c:pt idx="133">
                  <c:v>13.583663071277343</c:v>
                </c:pt>
                <c:pt idx="134">
                  <c:v>14.708936935170144</c:v>
                </c:pt>
                <c:pt idx="135">
                  <c:v>16.159038482501174</c:v>
                </c:pt>
                <c:pt idx="136">
                  <c:v>16.765002425594968</c:v>
                </c:pt>
                <c:pt idx="137">
                  <c:v>17.307202431799844</c:v>
                </c:pt>
                <c:pt idx="138">
                  <c:v>16.858194821540884</c:v>
                </c:pt>
                <c:pt idx="139">
                  <c:v>16.658551027441689</c:v>
                </c:pt>
                <c:pt idx="140">
                  <c:v>16.453396458138219</c:v>
                </c:pt>
                <c:pt idx="141">
                  <c:v>15.919994577949197</c:v>
                </c:pt>
                <c:pt idx="142">
                  <c:v>16.125149147252667</c:v>
                </c:pt>
                <c:pt idx="143">
                  <c:v>15.960179601022974</c:v>
                </c:pt>
                <c:pt idx="144">
                  <c:v>16.164273969322494</c:v>
                </c:pt>
                <c:pt idx="145">
                  <c:v>16.368368337622023</c:v>
                </c:pt>
                <c:pt idx="146">
                  <c:v>16.368368337622023</c:v>
                </c:pt>
                <c:pt idx="147">
                  <c:v>16.245911716642308</c:v>
                </c:pt>
                <c:pt idx="148">
                  <c:v>16.080676479823591</c:v>
                </c:pt>
                <c:pt idx="149">
                  <c:v>15.349736639831608</c:v>
                </c:pt>
                <c:pt idx="150">
                  <c:v>15.068303384932344</c:v>
                </c:pt>
                <c:pt idx="151">
                  <c:v>14.745122615282321</c:v>
                </c:pt>
                <c:pt idx="152">
                  <c:v>14.583532230457308</c:v>
                </c:pt>
                <c:pt idx="153">
                  <c:v>14.987508192519837</c:v>
                </c:pt>
                <c:pt idx="154">
                  <c:v>15.351086558376114</c:v>
                </c:pt>
                <c:pt idx="155">
                  <c:v>15.552775484273825</c:v>
                </c:pt>
                <c:pt idx="156">
                  <c:v>16.368368337622023</c:v>
                </c:pt>
                <c:pt idx="157">
                  <c:v>16.002056405670587</c:v>
                </c:pt>
                <c:pt idx="158">
                  <c:v>16.043087319531278</c:v>
                </c:pt>
                <c:pt idx="159">
                  <c:v>16.002056405670587</c:v>
                </c:pt>
                <c:pt idx="160">
                  <c:v>16.043087319531278</c:v>
                </c:pt>
                <c:pt idx="161">
                  <c:v>16.002056405670587</c:v>
                </c:pt>
                <c:pt idx="162">
                  <c:v>15.919994577949197</c:v>
                </c:pt>
                <c:pt idx="163">
                  <c:v>16.043087319531278</c:v>
                </c:pt>
                <c:pt idx="164">
                  <c:v>16.043087319531278</c:v>
                </c:pt>
                <c:pt idx="165">
                  <c:v>16.085118207397812</c:v>
                </c:pt>
                <c:pt idx="166">
                  <c:v>16.085118207397812</c:v>
                </c:pt>
                <c:pt idx="167">
                  <c:v>16.085118207397812</c:v>
                </c:pt>
                <c:pt idx="168">
                  <c:v>16.126362100237298</c:v>
                </c:pt>
                <c:pt idx="169">
                  <c:v>15.920142636039889</c:v>
                </c:pt>
                <c:pt idx="170">
                  <c:v>16.085118207397812</c:v>
                </c:pt>
                <c:pt idx="171">
                  <c:v>16.168547441891963</c:v>
                </c:pt>
                <c:pt idx="172">
                  <c:v>15.961258372124123</c:v>
                </c:pt>
                <c:pt idx="173">
                  <c:v>15.961258372124123</c:v>
                </c:pt>
                <c:pt idx="174">
                  <c:v>16.002716186077691</c:v>
                </c:pt>
                <c:pt idx="175">
                  <c:v>15.877291296749078</c:v>
                </c:pt>
                <c:pt idx="176">
                  <c:v>15.960636657886868</c:v>
                </c:pt>
                <c:pt idx="177">
                  <c:v>15.877291296749078</c:v>
                </c:pt>
                <c:pt idx="178">
                  <c:v>15.627255213335706</c:v>
                </c:pt>
                <c:pt idx="179">
                  <c:v>15.70818602251769</c:v>
                </c:pt>
                <c:pt idx="180">
                  <c:v>15.833851510697832</c:v>
                </c:pt>
                <c:pt idx="181">
                  <c:v>15.70818602251769</c:v>
                </c:pt>
                <c:pt idx="182">
                  <c:v>16.336842358385276</c:v>
                </c:pt>
                <c:pt idx="183">
                  <c:v>16.971517871804746</c:v>
                </c:pt>
                <c:pt idx="184">
                  <c:v>18.310300207813928</c:v>
                </c:pt>
                <c:pt idx="185">
                  <c:v>19.511365537261845</c:v>
                </c:pt>
                <c:pt idx="186">
                  <c:v>20.31641171759092</c:v>
                </c:pt>
                <c:pt idx="187">
                  <c:v>21.625635288809178</c:v>
                </c:pt>
                <c:pt idx="188">
                  <c:v>22.024916247019803</c:v>
                </c:pt>
                <c:pt idx="189">
                  <c:v>22.250085012550013</c:v>
                </c:pt>
                <c:pt idx="190">
                  <c:v>22.241599934613333</c:v>
                </c:pt>
                <c:pt idx="191">
                  <c:v>22.16525562243017</c:v>
                </c:pt>
                <c:pt idx="192">
                  <c:v>21.611451893997966</c:v>
                </c:pt>
                <c:pt idx="193">
                  <c:v>21.577651335752467</c:v>
                </c:pt>
                <c:pt idx="194">
                  <c:v>21.721183384549043</c:v>
                </c:pt>
                <c:pt idx="195">
                  <c:v>21.831388531519469</c:v>
                </c:pt>
                <c:pt idx="196">
                  <c:v>21.700416236722472</c:v>
                </c:pt>
                <c:pt idx="197">
                  <c:v>20.492152526437255</c:v>
                </c:pt>
                <c:pt idx="198">
                  <c:v>20.207361611654573</c:v>
                </c:pt>
                <c:pt idx="199">
                  <c:v>19.821440797792114</c:v>
                </c:pt>
                <c:pt idx="200">
                  <c:v>19.919083363298476</c:v>
                </c:pt>
                <c:pt idx="201">
                  <c:v>20.117976288499275</c:v>
                </c:pt>
                <c:pt idx="202">
                  <c:v>20.265180993049267</c:v>
                </c:pt>
                <c:pt idx="203">
                  <c:v>20.121029362162815</c:v>
                </c:pt>
                <c:pt idx="204">
                  <c:v>19.578304235648964</c:v>
                </c:pt>
                <c:pt idx="205">
                  <c:v>20.075636324728734</c:v>
                </c:pt>
                <c:pt idx="206">
                  <c:v>20.277011409104599</c:v>
                </c:pt>
                <c:pt idx="207">
                  <c:v>20.177915443057088</c:v>
                </c:pt>
                <c:pt idx="208">
                  <c:v>20.177915443057088</c:v>
                </c:pt>
                <c:pt idx="209">
                  <c:v>19.874940360850896</c:v>
                </c:pt>
                <c:pt idx="210">
                  <c:v>19.568328452652459</c:v>
                </c:pt>
                <c:pt idx="211">
                  <c:v>20.586196845939096</c:v>
                </c:pt>
                <c:pt idx="212">
                  <c:v>20.688361594554177</c:v>
                </c:pt>
                <c:pt idx="213">
                  <c:v>20.586944025551666</c:v>
                </c:pt>
                <c:pt idx="214">
                  <c:v>20.330248962888927</c:v>
                </c:pt>
                <c:pt idx="215">
                  <c:v>20.535504733904361</c:v>
                </c:pt>
                <c:pt idx="216">
                  <c:v>20.174327514966347</c:v>
                </c:pt>
                <c:pt idx="217">
                  <c:v>20.535504733904361</c:v>
                </c:pt>
                <c:pt idx="218">
                  <c:v>20.793488461717228</c:v>
                </c:pt>
                <c:pt idx="219">
                  <c:v>20.275530663494923</c:v>
                </c:pt>
                <c:pt idx="220">
                  <c:v>20.119963932061452</c:v>
                </c:pt>
                <c:pt idx="221">
                  <c:v>20.481395836453167</c:v>
                </c:pt>
                <c:pt idx="222">
                  <c:v>20.898319924727023</c:v>
                </c:pt>
                <c:pt idx="223">
                  <c:v>20.845867296736611</c:v>
                </c:pt>
                <c:pt idx="224">
                  <c:v>21.264879704711216</c:v>
                </c:pt>
                <c:pt idx="225">
                  <c:v>20.426854888762005</c:v>
                </c:pt>
                <c:pt idx="226">
                  <c:v>20.217348684774702</c:v>
                </c:pt>
                <c:pt idx="227">
                  <c:v>20.741114194742963</c:v>
                </c:pt>
                <c:pt idx="228">
                  <c:v>20.479231439758834</c:v>
                </c:pt>
                <c:pt idx="229">
                  <c:v>20.060219031784221</c:v>
                </c:pt>
                <c:pt idx="230">
                  <c:v>20.688737643746133</c:v>
                </c:pt>
                <c:pt idx="231">
                  <c:v>20.164972133777876</c:v>
                </c:pt>
                <c:pt idx="232">
                  <c:v>20.479231439758834</c:v>
                </c:pt>
                <c:pt idx="233">
                  <c:v>19.955465929790577</c:v>
                </c:pt>
                <c:pt idx="234">
                  <c:v>20.322101786768354</c:v>
                </c:pt>
                <c:pt idx="235">
                  <c:v>23.255188642590589</c:v>
                </c:pt>
                <c:pt idx="236">
                  <c:v>29.267117648347309</c:v>
                </c:pt>
                <c:pt idx="237">
                  <c:v>26.424627804802785</c:v>
                </c:pt>
                <c:pt idx="238">
                  <c:v>23.255188642590589</c:v>
                </c:pt>
                <c:pt idx="239">
                  <c:v>22.982940366096305</c:v>
                </c:pt>
                <c:pt idx="240">
                  <c:v>22.566016277822445</c:v>
                </c:pt>
                <c:pt idx="241">
                  <c:v>22.920165097863833</c:v>
                </c:pt>
                <c:pt idx="242">
                  <c:v>22.453464903563436</c:v>
                </c:pt>
                <c:pt idx="243">
                  <c:v>22.86830952071934</c:v>
                </c:pt>
                <c:pt idx="244">
                  <c:v>22.86830952071934</c:v>
                </c:pt>
                <c:pt idx="245">
                  <c:v>23.035055877130542</c:v>
                </c:pt>
                <c:pt idx="246">
                  <c:v>23.556210987472856</c:v>
                </c:pt>
                <c:pt idx="247">
                  <c:v>23.973135075746715</c:v>
                </c:pt>
                <c:pt idx="248">
                  <c:v>24.0932134585398</c:v>
                </c:pt>
                <c:pt idx="249">
                  <c:v>24.302719662527103</c:v>
                </c:pt>
                <c:pt idx="250">
                  <c:v>24.355096213523932</c:v>
                </c:pt>
                <c:pt idx="251">
                  <c:v>24.845466780611382</c:v>
                </c:pt>
                <c:pt idx="252">
                  <c:v>24.582273276579485</c:v>
                </c:pt>
                <c:pt idx="253">
                  <c:v>24.758119267177069</c:v>
                </c:pt>
                <c:pt idx="254">
                  <c:v>24.758119267177069</c:v>
                </c:pt>
                <c:pt idx="255">
                  <c:v>24.54651141019265</c:v>
                </c:pt>
                <c:pt idx="256">
                  <c:v>24.669184130259431</c:v>
                </c:pt>
                <c:pt idx="257">
                  <c:v>24.988182200909343</c:v>
                </c:pt>
                <c:pt idx="258">
                  <c:v>24.988182200909343</c:v>
                </c:pt>
                <c:pt idx="259">
                  <c:v>25.094514891125975</c:v>
                </c:pt>
                <c:pt idx="260">
                  <c:v>24.988182200909343</c:v>
                </c:pt>
                <c:pt idx="261">
                  <c:v>24.334903553208235</c:v>
                </c:pt>
                <c:pt idx="262">
                  <c:v>24.599413374438754</c:v>
                </c:pt>
                <c:pt idx="263">
                  <c:v>24.758119267177069</c:v>
                </c:pt>
                <c:pt idx="264">
                  <c:v>25.128433016899802</c:v>
                </c:pt>
                <c:pt idx="265">
                  <c:v>25.128433016899802</c:v>
                </c:pt>
                <c:pt idx="266">
                  <c:v>25.022629088407594</c:v>
                </c:pt>
                <c:pt idx="267">
                  <c:v>24.758119267177069</c:v>
                </c:pt>
                <c:pt idx="268">
                  <c:v>24.969727124161491</c:v>
                </c:pt>
                <c:pt idx="269">
                  <c:v>24.758119267177069</c:v>
                </c:pt>
                <c:pt idx="270">
                  <c:v>24.599413374438754</c:v>
                </c:pt>
                <c:pt idx="271">
                  <c:v>24.54651141019265</c:v>
                </c:pt>
                <c:pt idx="272">
                  <c:v>24.758119267177069</c:v>
                </c:pt>
                <c:pt idx="273">
                  <c:v>24.705217302930972</c:v>
                </c:pt>
                <c:pt idx="274">
                  <c:v>24.969727124161491</c:v>
                </c:pt>
                <c:pt idx="275">
                  <c:v>24.969727124161491</c:v>
                </c:pt>
                <c:pt idx="276">
                  <c:v>24.969727124161491</c:v>
                </c:pt>
                <c:pt idx="277">
                  <c:v>24.969727124161491</c:v>
                </c:pt>
                <c:pt idx="278">
                  <c:v>24.334903553208235</c:v>
                </c:pt>
                <c:pt idx="279">
                  <c:v>25.234236945392016</c:v>
                </c:pt>
                <c:pt idx="280">
                  <c:v>24.440707481700446</c:v>
                </c:pt>
                <c:pt idx="281">
                  <c:v>29.096080335357666</c:v>
                </c:pt>
                <c:pt idx="282">
                  <c:v>32.852119796831104</c:v>
                </c:pt>
                <c:pt idx="283">
                  <c:v>29.148982299603773</c:v>
                </c:pt>
                <c:pt idx="284">
                  <c:v>29.109201545928165</c:v>
                </c:pt>
                <c:pt idx="285">
                  <c:v>29.697504415200147</c:v>
                </c:pt>
                <c:pt idx="286">
                  <c:v>29.226115456228712</c:v>
                </c:pt>
                <c:pt idx="287">
                  <c:v>28.230960987289027</c:v>
                </c:pt>
                <c:pt idx="288">
                  <c:v>26.839488182629474</c:v>
                </c:pt>
                <c:pt idx="289">
                  <c:v>28.507184535724893</c:v>
                </c:pt>
                <c:pt idx="290">
                  <c:v>27.82968289227988</c:v>
                </c:pt>
                <c:pt idx="291">
                  <c:v>28.142375958485268</c:v>
                </c:pt>
                <c:pt idx="292">
                  <c:v>27.933913914348345</c:v>
                </c:pt>
                <c:pt idx="293">
                  <c:v>28.545220293269981</c:v>
                </c:pt>
                <c:pt idx="294">
                  <c:v>28.388090640279508</c:v>
                </c:pt>
                <c:pt idx="295">
                  <c:v>28.964232701244583</c:v>
                </c:pt>
                <c:pt idx="296">
                  <c:v>28.649973395263633</c:v>
                </c:pt>
                <c:pt idx="297">
                  <c:v>28.807103048254106</c:v>
                </c:pt>
                <c:pt idx="298">
                  <c:v>29.109201545928165</c:v>
                </c:pt>
                <c:pt idx="299">
                  <c:v>29.425033750766453</c:v>
                </c:pt>
                <c:pt idx="300">
                  <c:v>28.990276406865458</c:v>
                </c:pt>
                <c:pt idx="301">
                  <c:v>29.57219801357261</c:v>
                </c:pt>
                <c:pt idx="302">
                  <c:v>29.254786228095973</c:v>
                </c:pt>
                <c:pt idx="303">
                  <c:v>29.57219801357261</c:v>
                </c:pt>
                <c:pt idx="304">
                  <c:v>29.294656154683082</c:v>
                </c:pt>
                <c:pt idx="305">
                  <c:v>29.666820570441299</c:v>
                </c:pt>
                <c:pt idx="306">
                  <c:v>30.418629441510294</c:v>
                </c:pt>
                <c:pt idx="307">
                  <c:v>29.148982299603773</c:v>
                </c:pt>
                <c:pt idx="308">
                  <c:v>31.000551048217446</c:v>
                </c:pt>
                <c:pt idx="309">
                  <c:v>29.530311152379209</c:v>
                </c:pt>
                <c:pt idx="310">
                  <c:v>27.550065824330296</c:v>
                </c:pt>
                <c:pt idx="311">
                  <c:v>27.864325130311251</c:v>
                </c:pt>
                <c:pt idx="312">
                  <c:v>27.725451870211419</c:v>
                </c:pt>
                <c:pt idx="313">
                  <c:v>28.090260447451033</c:v>
                </c:pt>
                <c:pt idx="314">
                  <c:v>27.82968289227988</c:v>
                </c:pt>
                <c:pt idx="315">
                  <c:v>27.933913914348345</c:v>
                </c:pt>
                <c:pt idx="316">
                  <c:v>28.230960987289027</c:v>
                </c:pt>
                <c:pt idx="317">
                  <c:v>28.230960987289027</c:v>
                </c:pt>
                <c:pt idx="318">
                  <c:v>28.702349946260458</c:v>
                </c:pt>
                <c:pt idx="319">
                  <c:v>28.649973395263633</c:v>
                </c:pt>
                <c:pt idx="320">
                  <c:v>29.267117648347309</c:v>
                </c:pt>
                <c:pt idx="321">
                  <c:v>29.003924144315409</c:v>
                </c:pt>
                <c:pt idx="322">
                  <c:v>29.254786228095973</c:v>
                </c:pt>
                <c:pt idx="323">
                  <c:v>29.096080335357666</c:v>
                </c:pt>
                <c:pt idx="324">
                  <c:v>29.254786228095973</c:v>
                </c:pt>
                <c:pt idx="325">
                  <c:v>29.307688192342088</c:v>
                </c:pt>
                <c:pt idx="326">
                  <c:v>29.400988844899711</c:v>
                </c:pt>
                <c:pt idx="327">
                  <c:v>29.560487880224663</c:v>
                </c:pt>
                <c:pt idx="328">
                  <c:v>29.666820570441299</c:v>
                </c:pt>
                <c:pt idx="329">
                  <c:v>30.304816711741115</c:v>
                </c:pt>
                <c:pt idx="330">
                  <c:v>29.889609799049239</c:v>
                </c:pt>
                <c:pt idx="331">
                  <c:v>31.368143613907471</c:v>
                </c:pt>
                <c:pt idx="332">
                  <c:v>32.380180011989843</c:v>
                </c:pt>
                <c:pt idx="333">
                  <c:v>34.610766520355753</c:v>
                </c:pt>
                <c:pt idx="334">
                  <c:v>36.346604790453384</c:v>
                </c:pt>
                <c:pt idx="335">
                  <c:v>38.709242557475349</c:v>
                </c:pt>
                <c:pt idx="336">
                  <c:v>40.055870682763214</c:v>
                </c:pt>
                <c:pt idx="337">
                  <c:v>40.417645713953625</c:v>
                </c:pt>
                <c:pt idx="338">
                  <c:v>41.49125640174028</c:v>
                </c:pt>
                <c:pt idx="339">
                  <c:v>39.086446851853829</c:v>
                </c:pt>
                <c:pt idx="340">
                  <c:v>40.060105836801327</c:v>
                </c:pt>
                <c:pt idx="341">
                  <c:v>37.899080250008112</c:v>
                </c:pt>
                <c:pt idx="342">
                  <c:v>42.64026789703663</c:v>
                </c:pt>
                <c:pt idx="343">
                  <c:v>41.668409939269402</c:v>
                </c:pt>
                <c:pt idx="344">
                  <c:v>38.084683720002801</c:v>
                </c:pt>
                <c:pt idx="345">
                  <c:v>34.318734133654836</c:v>
                </c:pt>
                <c:pt idx="346">
                  <c:v>36.991343517514686</c:v>
                </c:pt>
                <c:pt idx="347">
                  <c:v>38.084683720002801</c:v>
                </c:pt>
                <c:pt idx="348">
                  <c:v>37.233404477305392</c:v>
                </c:pt>
                <c:pt idx="349">
                  <c:v>36.372749104399567</c:v>
                </c:pt>
                <c:pt idx="350">
                  <c:v>35.75938065407243</c:v>
                </c:pt>
                <c:pt idx="351">
                  <c:v>36.303932391965503</c:v>
                </c:pt>
                <c:pt idx="352">
                  <c:v>37.228480755088562</c:v>
                </c:pt>
                <c:pt idx="353">
                  <c:v>37.903980527654383</c:v>
                </c:pt>
                <c:pt idx="354">
                  <c:v>37.903980527654383</c:v>
                </c:pt>
                <c:pt idx="355">
                  <c:v>38.902815445903492</c:v>
                </c:pt>
                <c:pt idx="356">
                  <c:v>38.148641317711508</c:v>
                </c:pt>
                <c:pt idx="357">
                  <c:v>38.334353721116067</c:v>
                </c:pt>
                <c:pt idx="358">
                  <c:v>38.520830997378361</c:v>
                </c:pt>
                <c:pt idx="359">
                  <c:v>38.197919799665065</c:v>
                </c:pt>
                <c:pt idx="360">
                  <c:v>37.560224978301704</c:v>
                </c:pt>
                <c:pt idx="361">
                  <c:v>37.732682102130958</c:v>
                </c:pt>
                <c:pt idx="362">
                  <c:v>37.60390161714075</c:v>
                </c:pt>
                <c:pt idx="363">
                  <c:v>37.462768124700432</c:v>
                </c:pt>
                <c:pt idx="364">
                  <c:v>37.398065589079174</c:v>
                </c:pt>
                <c:pt idx="365">
                  <c:v>37.384263023724209</c:v>
                </c:pt>
                <c:pt idx="366">
                  <c:v>37.434645027039039</c:v>
                </c:pt>
                <c:pt idx="367">
                  <c:v>37.418856630031165</c:v>
                </c:pt>
                <c:pt idx="368">
                  <c:v>38.19347942468525</c:v>
                </c:pt>
                <c:pt idx="369">
                  <c:v>38.19347942468525</c:v>
                </c:pt>
                <c:pt idx="370">
                  <c:v>38.908295888430679</c:v>
                </c:pt>
                <c:pt idx="371">
                  <c:v>37.980329717326718</c:v>
                </c:pt>
                <c:pt idx="372">
                  <c:v>38.496730027508242</c:v>
                </c:pt>
                <c:pt idx="373">
                  <c:v>38.363523349212372</c:v>
                </c:pt>
                <c:pt idx="374">
                  <c:v>39.418640323708836</c:v>
                </c:pt>
                <c:pt idx="375">
                  <c:v>38.280920653924383</c:v>
                </c:pt>
                <c:pt idx="376">
                  <c:v>38.682468772671832</c:v>
                </c:pt>
                <c:pt idx="377">
                  <c:v>38.682468772671832</c:v>
                </c:pt>
                <c:pt idx="378">
                  <c:v>37.745523162261108</c:v>
                </c:pt>
                <c:pt idx="379">
                  <c:v>38.147071281008557</c:v>
                </c:pt>
                <c:pt idx="380">
                  <c:v>38.080146594550648</c:v>
                </c:pt>
                <c:pt idx="381">
                  <c:v>38.682468772671832</c:v>
                </c:pt>
                <c:pt idx="382">
                  <c:v>37.946297221634836</c:v>
                </c:pt>
                <c:pt idx="383">
                  <c:v>38.682468772671832</c:v>
                </c:pt>
                <c:pt idx="384">
                  <c:v>37.927502075591846</c:v>
                </c:pt>
                <c:pt idx="385">
                  <c:v>37.56965188529351</c:v>
                </c:pt>
                <c:pt idx="386">
                  <c:v>43.921355621296371</c:v>
                </c:pt>
                <c:pt idx="387">
                  <c:v>43.380785090572722</c:v>
                </c:pt>
                <c:pt idx="388">
                  <c:v>44.191640886658192</c:v>
                </c:pt>
                <c:pt idx="389">
                  <c:v>44.124069570317729</c:v>
                </c:pt>
                <c:pt idx="390">
                  <c:v>43.988926937636819</c:v>
                </c:pt>
                <c:pt idx="391">
                  <c:v>45.407924580786393</c:v>
                </c:pt>
                <c:pt idx="392">
                  <c:v>44.326783519339095</c:v>
                </c:pt>
                <c:pt idx="393">
                  <c:v>41.826644814742231</c:v>
                </c:pt>
                <c:pt idx="394">
                  <c:v>48.888819164814315</c:v>
                </c:pt>
                <c:pt idx="395">
                  <c:v>44.504916494509985</c:v>
                </c:pt>
                <c:pt idx="396">
                  <c:v>39.418640323708836</c:v>
                </c:pt>
                <c:pt idx="397">
                  <c:v>39.495780114727317</c:v>
                </c:pt>
                <c:pt idx="398">
                  <c:v>42.293120358940712</c:v>
                </c:pt>
                <c:pt idx="399">
                  <c:v>42.359723698088672</c:v>
                </c:pt>
                <c:pt idx="400">
                  <c:v>43.358773785307726</c:v>
                </c:pt>
                <c:pt idx="401">
                  <c:v>43.958203837639175</c:v>
                </c:pt>
                <c:pt idx="402">
                  <c:v>43.96951900284671</c:v>
                </c:pt>
                <c:pt idx="403">
                  <c:v>43.501046197641337</c:v>
                </c:pt>
                <c:pt idx="404">
                  <c:v>41.225606858072418</c:v>
                </c:pt>
                <c:pt idx="405">
                  <c:v>41.158682171614494</c:v>
                </c:pt>
                <c:pt idx="406">
                  <c:v>42.497175900772696</c:v>
                </c:pt>
                <c:pt idx="407">
                  <c:v>42.903805539410627</c:v>
                </c:pt>
                <c:pt idx="408">
                  <c:v>42.903805539410627</c:v>
                </c:pt>
                <c:pt idx="409">
                  <c:v>43.515927723253633</c:v>
                </c:pt>
                <c:pt idx="410">
                  <c:v>43.313213774232267</c:v>
                </c:pt>
                <c:pt idx="411">
                  <c:v>43.380785090572722</c:v>
                </c:pt>
                <c:pt idx="412">
                  <c:v>43.515927723253633</c:v>
                </c:pt>
                <c:pt idx="413">
                  <c:v>43.793311786609074</c:v>
                </c:pt>
                <c:pt idx="414">
                  <c:v>43.589621964345774</c:v>
                </c:pt>
                <c:pt idx="415">
                  <c:v>44.132794823714562</c:v>
                </c:pt>
                <c:pt idx="416">
                  <c:v>44.345094050352671</c:v>
                </c:pt>
                <c:pt idx="417">
                  <c:v>44.003977942273025</c:v>
                </c:pt>
                <c:pt idx="418">
                  <c:v>43.598539796995219</c:v>
                </c:pt>
                <c:pt idx="419">
                  <c:v>44.558256081834735</c:v>
                </c:pt>
                <c:pt idx="420">
                  <c:v>44.421153755429089</c:v>
                </c:pt>
                <c:pt idx="421">
                  <c:v>43.941295613009324</c:v>
                </c:pt>
                <c:pt idx="422">
                  <c:v>44.421153755429089</c:v>
                </c:pt>
                <c:pt idx="423">
                  <c:v>44.421153755429089</c:v>
                </c:pt>
                <c:pt idx="424">
                  <c:v>43.731085055809316</c:v>
                </c:pt>
                <c:pt idx="425">
                  <c:v>44.413317271968587</c:v>
                </c:pt>
                <c:pt idx="426">
                  <c:v>43.318035534661369</c:v>
                </c:pt>
                <c:pt idx="427">
                  <c:v>44.132794823714562</c:v>
                </c:pt>
                <c:pt idx="428">
                  <c:v>45.015450720188859</c:v>
                </c:pt>
                <c:pt idx="429">
                  <c:v>43.997001608872367</c:v>
                </c:pt>
                <c:pt idx="430">
                  <c:v>41.349033919449496</c:v>
                </c:pt>
                <c:pt idx="431">
                  <c:v>43.114345712398084</c:v>
                </c:pt>
                <c:pt idx="432">
                  <c:v>43.793311786609074</c:v>
                </c:pt>
                <c:pt idx="433">
                  <c:v>43.793311786609074</c:v>
                </c:pt>
                <c:pt idx="434">
                  <c:v>43.793311786609074</c:v>
                </c:pt>
                <c:pt idx="435">
                  <c:v>44.336484645977869</c:v>
                </c:pt>
                <c:pt idx="436">
                  <c:v>45.830210009242052</c:v>
                </c:pt>
                <c:pt idx="437">
                  <c:v>52.00880128456209</c:v>
                </c:pt>
                <c:pt idx="438">
                  <c:v>48.749764128349319</c:v>
                </c:pt>
                <c:pt idx="439">
                  <c:v>44.404381253398974</c:v>
                </c:pt>
                <c:pt idx="440">
                  <c:v>51.873008069719894</c:v>
                </c:pt>
                <c:pt idx="441">
                  <c:v>53.027250395878575</c:v>
                </c:pt>
                <c:pt idx="442">
                  <c:v>44.394354835679557</c:v>
                </c:pt>
                <c:pt idx="443">
                  <c:v>49.191918295851941</c:v>
                </c:pt>
                <c:pt idx="444">
                  <c:v>48.718919081468741</c:v>
                </c:pt>
                <c:pt idx="445">
                  <c:v>42.497175900772696</c:v>
                </c:pt>
                <c:pt idx="446">
                  <c:v>48.252698936152932</c:v>
                </c:pt>
                <c:pt idx="447">
                  <c:v>52.602803555917063</c:v>
                </c:pt>
                <c:pt idx="448">
                  <c:v>45.910334910126089</c:v>
                </c:pt>
                <c:pt idx="449">
                  <c:v>47.784226130947573</c:v>
                </c:pt>
                <c:pt idx="450">
                  <c:v>49.791966724684855</c:v>
                </c:pt>
                <c:pt idx="451">
                  <c:v>44.571841180967887</c:v>
                </c:pt>
                <c:pt idx="452">
                  <c:v>48.051924876779204</c:v>
                </c:pt>
                <c:pt idx="453">
                  <c:v>50.435508079244478</c:v>
                </c:pt>
                <c:pt idx="454">
                  <c:v>42.296401841398961</c:v>
                </c:pt>
                <c:pt idx="455">
                  <c:v>47.851150817405461</c:v>
                </c:pt>
                <c:pt idx="456">
                  <c:v>52.402029496543335</c:v>
                </c:pt>
                <c:pt idx="457">
                  <c:v>44.103368375762528</c:v>
                </c:pt>
                <c:pt idx="458">
                  <c:v>46.955354099296386</c:v>
                </c:pt>
                <c:pt idx="459">
                  <c:v>54.34832474471753</c:v>
                </c:pt>
                <c:pt idx="460">
                  <c:v>48.651940685022353</c:v>
                </c:pt>
                <c:pt idx="461">
                  <c:v>46.000608767582456</c:v>
                </c:pt>
                <c:pt idx="462">
                  <c:v>49.77875674993431</c:v>
                </c:pt>
                <c:pt idx="463">
                  <c:v>50.176456537550308</c:v>
                </c:pt>
                <c:pt idx="464">
                  <c:v>48.254240897406362</c:v>
                </c:pt>
                <c:pt idx="465">
                  <c:v>50.884951109024747</c:v>
                </c:pt>
                <c:pt idx="466">
                  <c:v>52.468954183001259</c:v>
                </c:pt>
                <c:pt idx="467">
                  <c:v>52.468954183001259</c:v>
                </c:pt>
                <c:pt idx="468">
                  <c:v>50.906239487984095</c:v>
                </c:pt>
                <c:pt idx="469">
                  <c:v>51.624485684108343</c:v>
                </c:pt>
                <c:pt idx="470">
                  <c:v>52.435341480193813</c:v>
                </c:pt>
                <c:pt idx="471">
                  <c:v>51.28662910240606</c:v>
                </c:pt>
                <c:pt idx="472">
                  <c:v>50.273059357299239</c:v>
                </c:pt>
                <c:pt idx="473">
                  <c:v>50.515075921297907</c:v>
                </c:pt>
                <c:pt idx="474">
                  <c:v>51.329835210351092</c:v>
                </c:pt>
                <c:pt idx="475">
                  <c:v>51.329835210351092</c:v>
                </c:pt>
                <c:pt idx="476">
                  <c:v>52.280387714246487</c:v>
                </c:pt>
                <c:pt idx="477">
                  <c:v>50.922455565824507</c:v>
                </c:pt>
                <c:pt idx="478">
                  <c:v>50.650869136140109</c:v>
                </c:pt>
                <c:pt idx="479">
                  <c:v>51.372085876793157</c:v>
                </c:pt>
                <c:pt idx="480">
                  <c:v>51.372085876793157</c:v>
                </c:pt>
                <c:pt idx="481">
                  <c:v>51.64497876325688</c:v>
                </c:pt>
                <c:pt idx="482">
                  <c:v>51.619025891725464</c:v>
                </c:pt>
                <c:pt idx="483">
                  <c:v>50.385104954074656</c:v>
                </c:pt>
                <c:pt idx="484">
                  <c:v>50.590758443683129</c:v>
                </c:pt>
                <c:pt idx="485">
                  <c:v>51.002065422900067</c:v>
                </c:pt>
                <c:pt idx="486">
                  <c:v>51.481923565319818</c:v>
                </c:pt>
                <c:pt idx="487">
                  <c:v>51.619025891725464</c:v>
                </c:pt>
                <c:pt idx="488">
                  <c:v>52.555773026016723</c:v>
                </c:pt>
                <c:pt idx="489">
                  <c:v>52.624653462485959</c:v>
                </c:pt>
                <c:pt idx="490">
                  <c:v>52.969055644832068</c:v>
                </c:pt>
                <c:pt idx="491">
                  <c:v>51.38480560603994</c:v>
                </c:pt>
                <c:pt idx="492">
                  <c:v>51.38480560603994</c:v>
                </c:pt>
                <c:pt idx="493">
                  <c:v>51.522566478978391</c:v>
                </c:pt>
                <c:pt idx="494">
                  <c:v>50.385641278426284</c:v>
                </c:pt>
                <c:pt idx="495">
                  <c:v>51.700651146956645</c:v>
                </c:pt>
                <c:pt idx="496">
                  <c:v>49.416686638456547</c:v>
                </c:pt>
                <c:pt idx="497">
                  <c:v>42.774751047387142</c:v>
                </c:pt>
                <c:pt idx="498">
                  <c:v>37.7464791851339</c:v>
                </c:pt>
                <c:pt idx="499">
                  <c:v>32.561802521340766</c:v>
                </c:pt>
                <c:pt idx="500">
                  <c:v>29.127644583651616</c:v>
                </c:pt>
                <c:pt idx="501">
                  <c:v>26.09196951299581</c:v>
                </c:pt>
                <c:pt idx="502">
                  <c:v>23.044755345186598</c:v>
                </c:pt>
                <c:pt idx="503">
                  <c:v>21.702339776720983</c:v>
                </c:pt>
                <c:pt idx="504">
                  <c:v>21.297895774545772</c:v>
                </c:pt>
                <c:pt idx="505">
                  <c:v>18.995121536055688</c:v>
                </c:pt>
                <c:pt idx="506">
                  <c:v>18.174302408855667</c:v>
                </c:pt>
                <c:pt idx="507">
                  <c:v>16.988370924184874</c:v>
                </c:pt>
                <c:pt idx="508">
                  <c:v>16.555761609780074</c:v>
                </c:pt>
                <c:pt idx="509">
                  <c:v>16.499611313800145</c:v>
                </c:pt>
                <c:pt idx="510">
                  <c:v>15.610468446635915</c:v>
                </c:pt>
                <c:pt idx="511">
                  <c:v>15.38318046083681</c:v>
                </c:pt>
                <c:pt idx="512">
                  <c:v>15.411038092074961</c:v>
                </c:pt>
                <c:pt idx="513">
                  <c:v>15.30263464892464</c:v>
                </c:pt>
                <c:pt idx="514">
                  <c:v>14.748053641409712</c:v>
                </c:pt>
                <c:pt idx="515">
                  <c:v>14.360762302419122</c:v>
                </c:pt>
                <c:pt idx="516">
                  <c:v>14.205792690754986</c:v>
                </c:pt>
                <c:pt idx="517">
                  <c:v>13.609231017430035</c:v>
                </c:pt>
                <c:pt idx="518">
                  <c:v>13.026729446244133</c:v>
                </c:pt>
                <c:pt idx="519">
                  <c:v>12.941332309932923</c:v>
                </c:pt>
                <c:pt idx="520">
                  <c:v>12.379059633588534</c:v>
                </c:pt>
                <c:pt idx="521">
                  <c:v>12.455607137181442</c:v>
                </c:pt>
                <c:pt idx="522">
                  <c:v>12.732075108071852</c:v>
                </c:pt>
                <c:pt idx="523">
                  <c:v>11.833933955315798</c:v>
                </c:pt>
                <c:pt idx="524">
                  <c:v>12.066073455788167</c:v>
                </c:pt>
                <c:pt idx="525">
                  <c:v>11.825444598849575</c:v>
                </c:pt>
                <c:pt idx="526">
                  <c:v>11.551001070326661</c:v>
                </c:pt>
                <c:pt idx="527">
                  <c:v>11.721783985054</c:v>
                </c:pt>
                <c:pt idx="528">
                  <c:v>11.544898271144636</c:v>
                </c:pt>
                <c:pt idx="529">
                  <c:v>11.334948968657553</c:v>
                </c:pt>
                <c:pt idx="530">
                  <c:v>11.127892695035161</c:v>
                </c:pt>
                <c:pt idx="531">
                  <c:v>11.197933126945868</c:v>
                </c:pt>
                <c:pt idx="532">
                  <c:v>11.368344593863458</c:v>
                </c:pt>
                <c:pt idx="533">
                  <c:v>11.084269133385462</c:v>
                </c:pt>
                <c:pt idx="534">
                  <c:v>11.598537064121128</c:v>
                </c:pt>
                <c:pt idx="535">
                  <c:v>11.643319060507697</c:v>
                </c:pt>
                <c:pt idx="536">
                  <c:v>11.39179898445952</c:v>
                </c:pt>
                <c:pt idx="537">
                  <c:v>11.642291167474777</c:v>
                </c:pt>
                <c:pt idx="538">
                  <c:v>11.582761342367514</c:v>
                </c:pt>
                <c:pt idx="539">
                  <c:v>11.43619188090068</c:v>
                </c:pt>
                <c:pt idx="540">
                  <c:v>11.535335960094386</c:v>
                </c:pt>
                <c:pt idx="541">
                  <c:v>11.492132454625869</c:v>
                </c:pt>
                <c:pt idx="542">
                  <c:v>11.562137924652459</c:v>
                </c:pt>
                <c:pt idx="543">
                  <c:v>11.433192148541094</c:v>
                </c:pt>
                <c:pt idx="544">
                  <c:v>11.231000791369343</c:v>
                </c:pt>
                <c:pt idx="545">
                  <c:v>11.231000791369343</c:v>
                </c:pt>
                <c:pt idx="546">
                  <c:v>11.088622649408588</c:v>
                </c:pt>
                <c:pt idx="547">
                  <c:v>11.115789645911629</c:v>
                </c:pt>
                <c:pt idx="548">
                  <c:v>10.891008975612268</c:v>
                </c:pt>
                <c:pt idx="549">
                  <c:v>10.891008975612268</c:v>
                </c:pt>
                <c:pt idx="550">
                  <c:v>11.334969114739499</c:v>
                </c:pt>
                <c:pt idx="551">
                  <c:v>10.861947255835117</c:v>
                </c:pt>
                <c:pt idx="552">
                  <c:v>10.737573813974409</c:v>
                </c:pt>
                <c:pt idx="553">
                  <c:v>10.779031627927978</c:v>
                </c:pt>
                <c:pt idx="554">
                  <c:v>10.723412138265209</c:v>
                </c:pt>
                <c:pt idx="555">
                  <c:v>10.750099431501777</c:v>
                </c:pt>
                <c:pt idx="556">
                  <c:v>10.627006689919694</c:v>
                </c:pt>
                <c:pt idx="557">
                  <c:v>10.776182646214997</c:v>
                </c:pt>
                <c:pt idx="558">
                  <c:v>10.776182646214997</c:v>
                </c:pt>
                <c:pt idx="559">
                  <c:v>10.776182646214997</c:v>
                </c:pt>
                <c:pt idx="560">
                  <c:v>10.612907151575378</c:v>
                </c:pt>
                <c:pt idx="561">
                  <c:v>10.694544898895188</c:v>
                </c:pt>
                <c:pt idx="562">
                  <c:v>10.517412142106842</c:v>
                </c:pt>
                <c:pt idx="563">
                  <c:v>10.503375013625764</c:v>
                </c:pt>
                <c:pt idx="564">
                  <c:v>10.220591840181992</c:v>
                </c:pt>
                <c:pt idx="565">
                  <c:v>10.220591840181992</c:v>
                </c:pt>
                <c:pt idx="566">
                  <c:v>10.503375013625764</c:v>
                </c:pt>
                <c:pt idx="567">
                  <c:v>10.448971593290265</c:v>
                </c:pt>
                <c:pt idx="568">
                  <c:v>10.167653127317067</c:v>
                </c:pt>
                <c:pt idx="569">
                  <c:v>10.167653127317067</c:v>
                </c:pt>
                <c:pt idx="570">
                  <c:v>10.127464775035179</c:v>
                </c:pt>
                <c:pt idx="571">
                  <c:v>10.248029831880837</c:v>
                </c:pt>
                <c:pt idx="572">
                  <c:v>9.915048380537506</c:v>
                </c:pt>
                <c:pt idx="573">
                  <c:v>10.114948549499957</c:v>
                </c:pt>
                <c:pt idx="574">
                  <c:v>9.915048380537506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DC-41CE-9F33-2130B957F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0831"/>
        <c:axId val="196851311"/>
      </c:scatterChart>
      <c:valAx>
        <c:axId val="1968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851311"/>
        <c:crosses val="autoZero"/>
        <c:crossBetween val="midCat"/>
      </c:valAx>
      <c:valAx>
        <c:axId val="19685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85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Feuil1!$A$1:$A$579</c:f>
              <c:numCache>
                <c:formatCode>m/d/yyyy\ h:mm</c:formatCode>
                <c:ptCount val="579"/>
                <c:pt idx="0">
                  <c:v>45470.46875</c:v>
                </c:pt>
                <c:pt idx="1">
                  <c:v>45470.468807870369</c:v>
                </c:pt>
                <c:pt idx="2">
                  <c:v>45470.469039351854</c:v>
                </c:pt>
                <c:pt idx="3">
                  <c:v>45470.469270833331</c:v>
                </c:pt>
                <c:pt idx="4">
                  <c:v>45470.469502314816</c:v>
                </c:pt>
                <c:pt idx="5">
                  <c:v>45470.469733796293</c:v>
                </c:pt>
                <c:pt idx="6">
                  <c:v>45470.469965277778</c:v>
                </c:pt>
                <c:pt idx="7">
                  <c:v>45470.470196759263</c:v>
                </c:pt>
                <c:pt idx="8">
                  <c:v>45470.47042824074</c:v>
                </c:pt>
                <c:pt idx="9">
                  <c:v>45470.470659722225</c:v>
                </c:pt>
                <c:pt idx="10">
                  <c:v>45470.470891203702</c:v>
                </c:pt>
                <c:pt idx="11">
                  <c:v>45470.471122685187</c:v>
                </c:pt>
                <c:pt idx="12">
                  <c:v>45470.471354166664</c:v>
                </c:pt>
                <c:pt idx="13">
                  <c:v>45470.471585648149</c:v>
                </c:pt>
                <c:pt idx="14">
                  <c:v>45470.471817129626</c:v>
                </c:pt>
                <c:pt idx="15">
                  <c:v>45470.472048611111</c:v>
                </c:pt>
                <c:pt idx="16">
                  <c:v>45470.472280092596</c:v>
                </c:pt>
                <c:pt idx="17">
                  <c:v>45470.472511574073</c:v>
                </c:pt>
                <c:pt idx="18">
                  <c:v>45470.472743055558</c:v>
                </c:pt>
                <c:pt idx="19">
                  <c:v>45470.472974537035</c:v>
                </c:pt>
                <c:pt idx="20">
                  <c:v>45470.47320601852</c:v>
                </c:pt>
                <c:pt idx="21">
                  <c:v>45470.473437499997</c:v>
                </c:pt>
                <c:pt idx="22">
                  <c:v>45470.473668981482</c:v>
                </c:pt>
                <c:pt idx="23">
                  <c:v>45470.473900462966</c:v>
                </c:pt>
                <c:pt idx="24">
                  <c:v>45470.474131944444</c:v>
                </c:pt>
                <c:pt idx="25">
                  <c:v>45470.474363425928</c:v>
                </c:pt>
                <c:pt idx="26">
                  <c:v>45470.474594907406</c:v>
                </c:pt>
                <c:pt idx="27">
                  <c:v>45470.474826388891</c:v>
                </c:pt>
                <c:pt idx="28">
                  <c:v>45470.475057870368</c:v>
                </c:pt>
                <c:pt idx="29">
                  <c:v>45470.475289351853</c:v>
                </c:pt>
                <c:pt idx="30">
                  <c:v>45470.47552083333</c:v>
                </c:pt>
                <c:pt idx="31">
                  <c:v>45470.475752314815</c:v>
                </c:pt>
                <c:pt idx="32">
                  <c:v>45470.475983796299</c:v>
                </c:pt>
                <c:pt idx="33">
                  <c:v>45470.476215277777</c:v>
                </c:pt>
                <c:pt idx="34">
                  <c:v>45470.476446759261</c:v>
                </c:pt>
                <c:pt idx="35">
                  <c:v>45470.476678240739</c:v>
                </c:pt>
                <c:pt idx="36">
                  <c:v>45470.476909722223</c:v>
                </c:pt>
                <c:pt idx="37">
                  <c:v>45470.477141203701</c:v>
                </c:pt>
                <c:pt idx="38">
                  <c:v>45470.477372685185</c:v>
                </c:pt>
                <c:pt idx="39">
                  <c:v>45470.47760416667</c:v>
                </c:pt>
                <c:pt idx="40">
                  <c:v>45470.477835648147</c:v>
                </c:pt>
                <c:pt idx="41">
                  <c:v>45470.478067129632</c:v>
                </c:pt>
                <c:pt idx="42">
                  <c:v>45470.478298611109</c:v>
                </c:pt>
                <c:pt idx="43">
                  <c:v>45470.478530092594</c:v>
                </c:pt>
                <c:pt idx="44">
                  <c:v>45470.478761574072</c:v>
                </c:pt>
                <c:pt idx="45">
                  <c:v>45470.478993055556</c:v>
                </c:pt>
                <c:pt idx="46">
                  <c:v>45470.479224537034</c:v>
                </c:pt>
                <c:pt idx="47">
                  <c:v>45470.479456018518</c:v>
                </c:pt>
                <c:pt idx="48">
                  <c:v>45470.479687500003</c:v>
                </c:pt>
                <c:pt idx="49">
                  <c:v>45470.47991898148</c:v>
                </c:pt>
                <c:pt idx="50">
                  <c:v>45470.480150462965</c:v>
                </c:pt>
                <c:pt idx="51">
                  <c:v>45470.480381944442</c:v>
                </c:pt>
                <c:pt idx="52">
                  <c:v>45470.480613425927</c:v>
                </c:pt>
                <c:pt idx="53">
                  <c:v>45470.480844907404</c:v>
                </c:pt>
                <c:pt idx="54">
                  <c:v>45470.481076388889</c:v>
                </c:pt>
                <c:pt idx="55">
                  <c:v>45470.481307870374</c:v>
                </c:pt>
                <c:pt idx="56">
                  <c:v>45470.481539351851</c:v>
                </c:pt>
                <c:pt idx="57">
                  <c:v>45470.481770833336</c:v>
                </c:pt>
                <c:pt idx="58">
                  <c:v>45470.482002314813</c:v>
                </c:pt>
                <c:pt idx="59">
                  <c:v>45470.482233796298</c:v>
                </c:pt>
                <c:pt idx="60">
                  <c:v>45470.482465277775</c:v>
                </c:pt>
                <c:pt idx="61">
                  <c:v>45470.48269675926</c:v>
                </c:pt>
                <c:pt idx="62">
                  <c:v>45470.482928240737</c:v>
                </c:pt>
                <c:pt idx="63">
                  <c:v>45470.483159722222</c:v>
                </c:pt>
                <c:pt idx="64">
                  <c:v>45470.483391203707</c:v>
                </c:pt>
                <c:pt idx="65">
                  <c:v>45470.483622685184</c:v>
                </c:pt>
                <c:pt idx="66">
                  <c:v>45470.483854166669</c:v>
                </c:pt>
                <c:pt idx="67">
                  <c:v>45470.484085648146</c:v>
                </c:pt>
                <c:pt idx="68">
                  <c:v>45470.484317129631</c:v>
                </c:pt>
                <c:pt idx="69">
                  <c:v>45470.484548611108</c:v>
                </c:pt>
                <c:pt idx="70">
                  <c:v>45470.484780092593</c:v>
                </c:pt>
                <c:pt idx="71">
                  <c:v>45470.485011574077</c:v>
                </c:pt>
                <c:pt idx="72">
                  <c:v>45470.485243055555</c:v>
                </c:pt>
                <c:pt idx="73">
                  <c:v>45470.485474537039</c:v>
                </c:pt>
                <c:pt idx="74">
                  <c:v>45470.485706018517</c:v>
                </c:pt>
                <c:pt idx="75">
                  <c:v>45470.485937500001</c:v>
                </c:pt>
                <c:pt idx="76">
                  <c:v>45470.486168981479</c:v>
                </c:pt>
                <c:pt idx="77">
                  <c:v>45470.486400462964</c:v>
                </c:pt>
                <c:pt idx="78">
                  <c:v>45470.486631944441</c:v>
                </c:pt>
                <c:pt idx="79">
                  <c:v>45470.486863425926</c:v>
                </c:pt>
                <c:pt idx="80">
                  <c:v>45470.48709490741</c:v>
                </c:pt>
                <c:pt idx="81">
                  <c:v>45470.487326388888</c:v>
                </c:pt>
                <c:pt idx="82">
                  <c:v>45470.487557870372</c:v>
                </c:pt>
                <c:pt idx="83">
                  <c:v>45470.48778935185</c:v>
                </c:pt>
                <c:pt idx="84">
                  <c:v>45470.488020833334</c:v>
                </c:pt>
                <c:pt idx="85">
                  <c:v>45470.488252314812</c:v>
                </c:pt>
                <c:pt idx="86">
                  <c:v>45470.488483796296</c:v>
                </c:pt>
                <c:pt idx="87">
                  <c:v>45470.488715277781</c:v>
                </c:pt>
                <c:pt idx="88">
                  <c:v>45470.488946759258</c:v>
                </c:pt>
                <c:pt idx="89">
                  <c:v>45470.489178240743</c:v>
                </c:pt>
                <c:pt idx="90">
                  <c:v>45470.48940972222</c:v>
                </c:pt>
                <c:pt idx="91">
                  <c:v>45470.489641203705</c:v>
                </c:pt>
                <c:pt idx="92">
                  <c:v>45470.489872685182</c:v>
                </c:pt>
                <c:pt idx="93">
                  <c:v>45470.490104166667</c:v>
                </c:pt>
                <c:pt idx="94">
                  <c:v>45470.490335648145</c:v>
                </c:pt>
                <c:pt idx="95">
                  <c:v>45470.490567129629</c:v>
                </c:pt>
                <c:pt idx="96">
                  <c:v>45470.490798611114</c:v>
                </c:pt>
                <c:pt idx="97">
                  <c:v>45470.491030092591</c:v>
                </c:pt>
                <c:pt idx="98">
                  <c:v>45470.491261574076</c:v>
                </c:pt>
                <c:pt idx="99">
                  <c:v>45470.491493055553</c:v>
                </c:pt>
                <c:pt idx="100">
                  <c:v>45470.491724537038</c:v>
                </c:pt>
                <c:pt idx="101">
                  <c:v>45470.491956018515</c:v>
                </c:pt>
                <c:pt idx="102">
                  <c:v>45470.4921875</c:v>
                </c:pt>
                <c:pt idx="103">
                  <c:v>45470.492418981485</c:v>
                </c:pt>
                <c:pt idx="104">
                  <c:v>45470.492650462962</c:v>
                </c:pt>
                <c:pt idx="105">
                  <c:v>45470.492881944447</c:v>
                </c:pt>
                <c:pt idx="106">
                  <c:v>45470.493113425924</c:v>
                </c:pt>
                <c:pt idx="107">
                  <c:v>45470.493344907409</c:v>
                </c:pt>
                <c:pt idx="108">
                  <c:v>45470.493576388886</c:v>
                </c:pt>
                <c:pt idx="109">
                  <c:v>45470.493807870371</c:v>
                </c:pt>
                <c:pt idx="110">
                  <c:v>45470.494039351855</c:v>
                </c:pt>
                <c:pt idx="111">
                  <c:v>45470.494270833333</c:v>
                </c:pt>
                <c:pt idx="112">
                  <c:v>45470.494502314818</c:v>
                </c:pt>
                <c:pt idx="113">
                  <c:v>45470.494733796295</c:v>
                </c:pt>
                <c:pt idx="114">
                  <c:v>45470.49496527778</c:v>
                </c:pt>
                <c:pt idx="115">
                  <c:v>45470.495196759257</c:v>
                </c:pt>
                <c:pt idx="116">
                  <c:v>45470.495428240742</c:v>
                </c:pt>
                <c:pt idx="117">
                  <c:v>45470.495659722219</c:v>
                </c:pt>
                <c:pt idx="118">
                  <c:v>45470.495891203704</c:v>
                </c:pt>
                <c:pt idx="119">
                  <c:v>45470.496122685188</c:v>
                </c:pt>
                <c:pt idx="120">
                  <c:v>45470.496354166666</c:v>
                </c:pt>
                <c:pt idx="121">
                  <c:v>45470.49658564815</c:v>
                </c:pt>
                <c:pt idx="122">
                  <c:v>45470.496817129628</c:v>
                </c:pt>
                <c:pt idx="123">
                  <c:v>45470.497048611112</c:v>
                </c:pt>
                <c:pt idx="124">
                  <c:v>45470.49728009259</c:v>
                </c:pt>
                <c:pt idx="125">
                  <c:v>45470.497511574074</c:v>
                </c:pt>
                <c:pt idx="126">
                  <c:v>45470.497743055559</c:v>
                </c:pt>
                <c:pt idx="127">
                  <c:v>45470.497974537036</c:v>
                </c:pt>
                <c:pt idx="128">
                  <c:v>45470.498206018521</c:v>
                </c:pt>
                <c:pt idx="129">
                  <c:v>45470.498437499999</c:v>
                </c:pt>
                <c:pt idx="130">
                  <c:v>45470.498668981483</c:v>
                </c:pt>
                <c:pt idx="131">
                  <c:v>45470.498900462961</c:v>
                </c:pt>
                <c:pt idx="132">
                  <c:v>45470.499131944445</c:v>
                </c:pt>
                <c:pt idx="133">
                  <c:v>45470.499363425923</c:v>
                </c:pt>
                <c:pt idx="134">
                  <c:v>45470.499594907407</c:v>
                </c:pt>
                <c:pt idx="135">
                  <c:v>45470.499826388892</c:v>
                </c:pt>
                <c:pt idx="136">
                  <c:v>45470.500057870369</c:v>
                </c:pt>
                <c:pt idx="137">
                  <c:v>45470.500289351854</c:v>
                </c:pt>
                <c:pt idx="138">
                  <c:v>45470.500520833331</c:v>
                </c:pt>
                <c:pt idx="139">
                  <c:v>45470.500752314816</c:v>
                </c:pt>
                <c:pt idx="140">
                  <c:v>45470.500983796293</c:v>
                </c:pt>
                <c:pt idx="141">
                  <c:v>45470.501215277778</c:v>
                </c:pt>
                <c:pt idx="142">
                  <c:v>45470.501446759263</c:v>
                </c:pt>
                <c:pt idx="143">
                  <c:v>45470.50167824074</c:v>
                </c:pt>
                <c:pt idx="144">
                  <c:v>45470.501909722225</c:v>
                </c:pt>
                <c:pt idx="145">
                  <c:v>45470.502141203702</c:v>
                </c:pt>
                <c:pt idx="146">
                  <c:v>45470.502372685187</c:v>
                </c:pt>
                <c:pt idx="147">
                  <c:v>45470.502604166664</c:v>
                </c:pt>
                <c:pt idx="148">
                  <c:v>45470.502835648149</c:v>
                </c:pt>
                <c:pt idx="149">
                  <c:v>45470.503067129626</c:v>
                </c:pt>
                <c:pt idx="150">
                  <c:v>45470.503298611111</c:v>
                </c:pt>
                <c:pt idx="151">
                  <c:v>45470.503530092596</c:v>
                </c:pt>
                <c:pt idx="152">
                  <c:v>45470.503761574073</c:v>
                </c:pt>
                <c:pt idx="153">
                  <c:v>45470.503993055558</c:v>
                </c:pt>
                <c:pt idx="154">
                  <c:v>45470.504224537035</c:v>
                </c:pt>
                <c:pt idx="155">
                  <c:v>45470.50445601852</c:v>
                </c:pt>
                <c:pt idx="156">
                  <c:v>45470.504687499997</c:v>
                </c:pt>
                <c:pt idx="157">
                  <c:v>45470.504918981482</c:v>
                </c:pt>
                <c:pt idx="158">
                  <c:v>45470.505150462966</c:v>
                </c:pt>
                <c:pt idx="159">
                  <c:v>45470.505381944444</c:v>
                </c:pt>
                <c:pt idx="160">
                  <c:v>45470.505613425928</c:v>
                </c:pt>
                <c:pt idx="161">
                  <c:v>45470.505844907406</c:v>
                </c:pt>
                <c:pt idx="162">
                  <c:v>45470.506076388891</c:v>
                </c:pt>
                <c:pt idx="163">
                  <c:v>45470.506307870368</c:v>
                </c:pt>
                <c:pt idx="164">
                  <c:v>45470.506539351853</c:v>
                </c:pt>
                <c:pt idx="165">
                  <c:v>45470.50677083333</c:v>
                </c:pt>
                <c:pt idx="166">
                  <c:v>45470.507002314815</c:v>
                </c:pt>
                <c:pt idx="167">
                  <c:v>45470.507233796299</c:v>
                </c:pt>
                <c:pt idx="168">
                  <c:v>45470.507465277777</c:v>
                </c:pt>
                <c:pt idx="169">
                  <c:v>45470.507696759261</c:v>
                </c:pt>
                <c:pt idx="170">
                  <c:v>45470.507928240739</c:v>
                </c:pt>
                <c:pt idx="171">
                  <c:v>45470.508159722223</c:v>
                </c:pt>
                <c:pt idx="172">
                  <c:v>45470.508391203701</c:v>
                </c:pt>
                <c:pt idx="173">
                  <c:v>45470.508622685185</c:v>
                </c:pt>
                <c:pt idx="174">
                  <c:v>45470.50885416667</c:v>
                </c:pt>
                <c:pt idx="175">
                  <c:v>45470.509085648147</c:v>
                </c:pt>
                <c:pt idx="176">
                  <c:v>45470.509317129632</c:v>
                </c:pt>
                <c:pt idx="177">
                  <c:v>45470.509548611109</c:v>
                </c:pt>
                <c:pt idx="178">
                  <c:v>45470.509780092594</c:v>
                </c:pt>
                <c:pt idx="179">
                  <c:v>45470.510011574072</c:v>
                </c:pt>
                <c:pt idx="180">
                  <c:v>45470.510243055556</c:v>
                </c:pt>
                <c:pt idx="181">
                  <c:v>45470.510474537034</c:v>
                </c:pt>
                <c:pt idx="182">
                  <c:v>45470.510706018518</c:v>
                </c:pt>
                <c:pt idx="183">
                  <c:v>45470.510937500003</c:v>
                </c:pt>
                <c:pt idx="184">
                  <c:v>45470.51116898148</c:v>
                </c:pt>
                <c:pt idx="185">
                  <c:v>45470.511400462965</c:v>
                </c:pt>
                <c:pt idx="186">
                  <c:v>45470.511631944442</c:v>
                </c:pt>
                <c:pt idx="187">
                  <c:v>45470.511863425927</c:v>
                </c:pt>
                <c:pt idx="188">
                  <c:v>45470.512094907404</c:v>
                </c:pt>
                <c:pt idx="189">
                  <c:v>45470.512326388889</c:v>
                </c:pt>
                <c:pt idx="190">
                  <c:v>45470.512557870374</c:v>
                </c:pt>
                <c:pt idx="191">
                  <c:v>45470.512789351851</c:v>
                </c:pt>
                <c:pt idx="192">
                  <c:v>45470.513020833336</c:v>
                </c:pt>
                <c:pt idx="193">
                  <c:v>45470.513252314813</c:v>
                </c:pt>
                <c:pt idx="194">
                  <c:v>45470.513483796298</c:v>
                </c:pt>
                <c:pt idx="195">
                  <c:v>45470.513715277775</c:v>
                </c:pt>
                <c:pt idx="196">
                  <c:v>45470.51394675926</c:v>
                </c:pt>
                <c:pt idx="197">
                  <c:v>45470.514178240737</c:v>
                </c:pt>
                <c:pt idx="198">
                  <c:v>45470.514409722222</c:v>
                </c:pt>
                <c:pt idx="199">
                  <c:v>45470.514641203707</c:v>
                </c:pt>
                <c:pt idx="200">
                  <c:v>45470.514872685184</c:v>
                </c:pt>
                <c:pt idx="201">
                  <c:v>45470.515104166669</c:v>
                </c:pt>
                <c:pt idx="202">
                  <c:v>45470.515335648146</c:v>
                </c:pt>
                <c:pt idx="203">
                  <c:v>45470.515567129631</c:v>
                </c:pt>
                <c:pt idx="204">
                  <c:v>45470.515798611108</c:v>
                </c:pt>
                <c:pt idx="205">
                  <c:v>45470.516030092593</c:v>
                </c:pt>
                <c:pt idx="206">
                  <c:v>45470.516261574077</c:v>
                </c:pt>
                <c:pt idx="207">
                  <c:v>45470.516493055555</c:v>
                </c:pt>
                <c:pt idx="208">
                  <c:v>45470.516724537039</c:v>
                </c:pt>
                <c:pt idx="209">
                  <c:v>45470.516956018517</c:v>
                </c:pt>
                <c:pt idx="210">
                  <c:v>45470.517187500001</c:v>
                </c:pt>
                <c:pt idx="211">
                  <c:v>45470.517418981479</c:v>
                </c:pt>
                <c:pt idx="212">
                  <c:v>45470.517650462964</c:v>
                </c:pt>
                <c:pt idx="213">
                  <c:v>45470.517881944441</c:v>
                </c:pt>
                <c:pt idx="214">
                  <c:v>45470.518113425926</c:v>
                </c:pt>
                <c:pt idx="215">
                  <c:v>45470.51834490741</c:v>
                </c:pt>
                <c:pt idx="216">
                  <c:v>45470.518576388888</c:v>
                </c:pt>
                <c:pt idx="217">
                  <c:v>45470.518807870372</c:v>
                </c:pt>
                <c:pt idx="218">
                  <c:v>45470.51903935185</c:v>
                </c:pt>
                <c:pt idx="219">
                  <c:v>45470.519270833334</c:v>
                </c:pt>
                <c:pt idx="220">
                  <c:v>45470.519502314812</c:v>
                </c:pt>
                <c:pt idx="221">
                  <c:v>45470.519733796296</c:v>
                </c:pt>
                <c:pt idx="222">
                  <c:v>45470.519965277781</c:v>
                </c:pt>
                <c:pt idx="223">
                  <c:v>45470.520196759258</c:v>
                </c:pt>
                <c:pt idx="224">
                  <c:v>45470.520428240743</c:v>
                </c:pt>
                <c:pt idx="225">
                  <c:v>45470.52065972222</c:v>
                </c:pt>
                <c:pt idx="226">
                  <c:v>45470.520891203705</c:v>
                </c:pt>
                <c:pt idx="227">
                  <c:v>45470.521122685182</c:v>
                </c:pt>
                <c:pt idx="228">
                  <c:v>45470.521354166667</c:v>
                </c:pt>
                <c:pt idx="229">
                  <c:v>45470.521585648145</c:v>
                </c:pt>
                <c:pt idx="230">
                  <c:v>45470.521817129629</c:v>
                </c:pt>
                <c:pt idx="231">
                  <c:v>45470.522048611114</c:v>
                </c:pt>
                <c:pt idx="232">
                  <c:v>45470.522280092591</c:v>
                </c:pt>
                <c:pt idx="233">
                  <c:v>45470.522511574076</c:v>
                </c:pt>
                <c:pt idx="234">
                  <c:v>45470.522743055553</c:v>
                </c:pt>
                <c:pt idx="235">
                  <c:v>45470.522974537038</c:v>
                </c:pt>
                <c:pt idx="236">
                  <c:v>45470.523206018515</c:v>
                </c:pt>
                <c:pt idx="237">
                  <c:v>45470.5234375</c:v>
                </c:pt>
                <c:pt idx="238">
                  <c:v>45470.523668981485</c:v>
                </c:pt>
                <c:pt idx="239">
                  <c:v>45470.523900462962</c:v>
                </c:pt>
                <c:pt idx="240">
                  <c:v>45470.524131944447</c:v>
                </c:pt>
                <c:pt idx="241">
                  <c:v>45470.524363425924</c:v>
                </c:pt>
                <c:pt idx="242">
                  <c:v>45470.524594907409</c:v>
                </c:pt>
                <c:pt idx="243">
                  <c:v>45470.524826388886</c:v>
                </c:pt>
                <c:pt idx="244">
                  <c:v>45470.525057870371</c:v>
                </c:pt>
                <c:pt idx="245">
                  <c:v>45470.525289351855</c:v>
                </c:pt>
                <c:pt idx="246">
                  <c:v>45470.525520833333</c:v>
                </c:pt>
                <c:pt idx="247">
                  <c:v>45470.525752314818</c:v>
                </c:pt>
                <c:pt idx="248">
                  <c:v>45470.525983796295</c:v>
                </c:pt>
                <c:pt idx="249">
                  <c:v>45470.52621527778</c:v>
                </c:pt>
                <c:pt idx="250">
                  <c:v>45470.526446759257</c:v>
                </c:pt>
                <c:pt idx="251">
                  <c:v>45470.526678240742</c:v>
                </c:pt>
                <c:pt idx="252">
                  <c:v>45470.526909722219</c:v>
                </c:pt>
                <c:pt idx="253">
                  <c:v>45470.527141203704</c:v>
                </c:pt>
                <c:pt idx="254">
                  <c:v>45470.527372685188</c:v>
                </c:pt>
                <c:pt idx="255">
                  <c:v>45470.527604166666</c:v>
                </c:pt>
                <c:pt idx="256">
                  <c:v>45470.52783564815</c:v>
                </c:pt>
                <c:pt idx="257">
                  <c:v>45470.528067129628</c:v>
                </c:pt>
                <c:pt idx="258">
                  <c:v>45470.528298611112</c:v>
                </c:pt>
                <c:pt idx="259">
                  <c:v>45470.52853009259</c:v>
                </c:pt>
                <c:pt idx="260">
                  <c:v>45470.528761574074</c:v>
                </c:pt>
                <c:pt idx="261">
                  <c:v>45470.528993055559</c:v>
                </c:pt>
                <c:pt idx="262">
                  <c:v>45470.529224537036</c:v>
                </c:pt>
                <c:pt idx="263">
                  <c:v>45470.529456018521</c:v>
                </c:pt>
                <c:pt idx="264">
                  <c:v>45470.529687499999</c:v>
                </c:pt>
                <c:pt idx="265">
                  <c:v>45470.529918981483</c:v>
                </c:pt>
                <c:pt idx="266">
                  <c:v>45470.530150462961</c:v>
                </c:pt>
                <c:pt idx="267">
                  <c:v>45470.530381944445</c:v>
                </c:pt>
                <c:pt idx="268">
                  <c:v>45470.530613425923</c:v>
                </c:pt>
                <c:pt idx="269">
                  <c:v>45470.530844907407</c:v>
                </c:pt>
                <c:pt idx="270">
                  <c:v>45470.531076388892</c:v>
                </c:pt>
                <c:pt idx="271">
                  <c:v>45470.531307870369</c:v>
                </c:pt>
                <c:pt idx="272">
                  <c:v>45470.531539351854</c:v>
                </c:pt>
                <c:pt idx="273">
                  <c:v>45470.531770833331</c:v>
                </c:pt>
                <c:pt idx="274">
                  <c:v>45470.532002314816</c:v>
                </c:pt>
                <c:pt idx="275">
                  <c:v>45470.532233796293</c:v>
                </c:pt>
                <c:pt idx="276">
                  <c:v>45470.532465277778</c:v>
                </c:pt>
                <c:pt idx="277">
                  <c:v>45470.532696759263</c:v>
                </c:pt>
                <c:pt idx="278">
                  <c:v>45470.53292824074</c:v>
                </c:pt>
                <c:pt idx="279">
                  <c:v>45470.533159722225</c:v>
                </c:pt>
                <c:pt idx="280">
                  <c:v>45470.533391203702</c:v>
                </c:pt>
                <c:pt idx="281">
                  <c:v>45470.533622685187</c:v>
                </c:pt>
                <c:pt idx="282">
                  <c:v>45470.533854166664</c:v>
                </c:pt>
                <c:pt idx="283">
                  <c:v>45470.534085648149</c:v>
                </c:pt>
                <c:pt idx="284">
                  <c:v>45470.534317129626</c:v>
                </c:pt>
                <c:pt idx="285">
                  <c:v>45470.534548611111</c:v>
                </c:pt>
                <c:pt idx="286">
                  <c:v>45470.534780092596</c:v>
                </c:pt>
                <c:pt idx="287">
                  <c:v>45470.535011574073</c:v>
                </c:pt>
                <c:pt idx="288">
                  <c:v>45470.535243055558</c:v>
                </c:pt>
                <c:pt idx="289">
                  <c:v>45470.535474537035</c:v>
                </c:pt>
                <c:pt idx="290">
                  <c:v>45470.53570601852</c:v>
                </c:pt>
                <c:pt idx="291">
                  <c:v>45470.535937499997</c:v>
                </c:pt>
                <c:pt idx="292">
                  <c:v>45470.536168981482</c:v>
                </c:pt>
                <c:pt idx="293">
                  <c:v>45470.536400462966</c:v>
                </c:pt>
                <c:pt idx="294">
                  <c:v>45470.536631944444</c:v>
                </c:pt>
                <c:pt idx="295">
                  <c:v>45470.536863425928</c:v>
                </c:pt>
                <c:pt idx="296">
                  <c:v>45470.537094907406</c:v>
                </c:pt>
                <c:pt idx="297">
                  <c:v>45470.537326388891</c:v>
                </c:pt>
                <c:pt idx="298">
                  <c:v>45470.537557870368</c:v>
                </c:pt>
                <c:pt idx="299">
                  <c:v>45470.537789351853</c:v>
                </c:pt>
                <c:pt idx="300">
                  <c:v>45470.53802083333</c:v>
                </c:pt>
                <c:pt idx="301">
                  <c:v>45470.538252314815</c:v>
                </c:pt>
                <c:pt idx="302">
                  <c:v>45470.538483796299</c:v>
                </c:pt>
                <c:pt idx="303">
                  <c:v>45470.538715277777</c:v>
                </c:pt>
                <c:pt idx="304">
                  <c:v>45470.538946759261</c:v>
                </c:pt>
                <c:pt idx="305">
                  <c:v>45470.539178240739</c:v>
                </c:pt>
                <c:pt idx="306">
                  <c:v>45470.539409722223</c:v>
                </c:pt>
                <c:pt idx="307">
                  <c:v>45470.539641203701</c:v>
                </c:pt>
                <c:pt idx="308">
                  <c:v>45470.539872685185</c:v>
                </c:pt>
                <c:pt idx="309">
                  <c:v>45470.54010416667</c:v>
                </c:pt>
                <c:pt idx="310">
                  <c:v>45470.540335648147</c:v>
                </c:pt>
                <c:pt idx="311">
                  <c:v>45470.540567129632</c:v>
                </c:pt>
                <c:pt idx="312">
                  <c:v>45470.540798611109</c:v>
                </c:pt>
                <c:pt idx="313">
                  <c:v>45470.541030092594</c:v>
                </c:pt>
                <c:pt idx="314">
                  <c:v>45470.541261574072</c:v>
                </c:pt>
                <c:pt idx="315">
                  <c:v>45470.541493055556</c:v>
                </c:pt>
                <c:pt idx="316">
                  <c:v>45470.541724537034</c:v>
                </c:pt>
                <c:pt idx="317">
                  <c:v>45470.541956018518</c:v>
                </c:pt>
                <c:pt idx="318">
                  <c:v>45470.542187500003</c:v>
                </c:pt>
                <c:pt idx="319">
                  <c:v>45470.54241898148</c:v>
                </c:pt>
                <c:pt idx="320">
                  <c:v>45470.542650462965</c:v>
                </c:pt>
                <c:pt idx="321">
                  <c:v>45470.542881944442</c:v>
                </c:pt>
                <c:pt idx="322">
                  <c:v>45470.543113425927</c:v>
                </c:pt>
                <c:pt idx="323">
                  <c:v>45470.543344907404</c:v>
                </c:pt>
                <c:pt idx="324">
                  <c:v>45470.543576388889</c:v>
                </c:pt>
                <c:pt idx="325">
                  <c:v>45470.543807870374</c:v>
                </c:pt>
                <c:pt idx="326">
                  <c:v>45470.544039351851</c:v>
                </c:pt>
                <c:pt idx="327">
                  <c:v>45470.544270833336</c:v>
                </c:pt>
                <c:pt idx="328">
                  <c:v>45470.544502314813</c:v>
                </c:pt>
                <c:pt idx="329">
                  <c:v>45470.544733796298</c:v>
                </c:pt>
                <c:pt idx="330">
                  <c:v>45470.544965277775</c:v>
                </c:pt>
                <c:pt idx="331">
                  <c:v>45470.54519675926</c:v>
                </c:pt>
                <c:pt idx="332">
                  <c:v>45470.545428240737</c:v>
                </c:pt>
                <c:pt idx="333">
                  <c:v>45470.545659722222</c:v>
                </c:pt>
                <c:pt idx="334">
                  <c:v>45470.545891203707</c:v>
                </c:pt>
                <c:pt idx="335">
                  <c:v>45470.546122685184</c:v>
                </c:pt>
                <c:pt idx="336">
                  <c:v>45470.546354166669</c:v>
                </c:pt>
                <c:pt idx="337">
                  <c:v>45470.546585648146</c:v>
                </c:pt>
                <c:pt idx="338">
                  <c:v>45470.546817129631</c:v>
                </c:pt>
                <c:pt idx="339">
                  <c:v>45470.547048611108</c:v>
                </c:pt>
                <c:pt idx="340">
                  <c:v>45470.547280092593</c:v>
                </c:pt>
                <c:pt idx="341">
                  <c:v>45470.547511574077</c:v>
                </c:pt>
                <c:pt idx="342">
                  <c:v>45470.547743055555</c:v>
                </c:pt>
                <c:pt idx="343">
                  <c:v>45470.547974537039</c:v>
                </c:pt>
                <c:pt idx="344">
                  <c:v>45470.548206018517</c:v>
                </c:pt>
                <c:pt idx="345">
                  <c:v>45470.548437500001</c:v>
                </c:pt>
                <c:pt idx="346">
                  <c:v>45470.548668981479</c:v>
                </c:pt>
                <c:pt idx="347">
                  <c:v>45470.548900462964</c:v>
                </c:pt>
                <c:pt idx="348">
                  <c:v>45470.549131944441</c:v>
                </c:pt>
                <c:pt idx="349">
                  <c:v>45470.549363425926</c:v>
                </c:pt>
                <c:pt idx="350">
                  <c:v>45470.54959490741</c:v>
                </c:pt>
                <c:pt idx="351">
                  <c:v>45470.549826388888</c:v>
                </c:pt>
                <c:pt idx="352">
                  <c:v>45470.550057870372</c:v>
                </c:pt>
                <c:pt idx="353">
                  <c:v>45470.55028935185</c:v>
                </c:pt>
                <c:pt idx="354">
                  <c:v>45470.550520833334</c:v>
                </c:pt>
                <c:pt idx="355">
                  <c:v>45470.550752314812</c:v>
                </c:pt>
                <c:pt idx="356">
                  <c:v>45470.550983796296</c:v>
                </c:pt>
                <c:pt idx="357">
                  <c:v>45470.551215277781</c:v>
                </c:pt>
                <c:pt idx="358">
                  <c:v>45470.551446759258</c:v>
                </c:pt>
                <c:pt idx="359">
                  <c:v>45470.551678240743</c:v>
                </c:pt>
                <c:pt idx="360">
                  <c:v>45470.55190972222</c:v>
                </c:pt>
                <c:pt idx="361">
                  <c:v>45470.552141203705</c:v>
                </c:pt>
                <c:pt idx="362">
                  <c:v>45470.552372685182</c:v>
                </c:pt>
                <c:pt idx="363">
                  <c:v>45470.552604166667</c:v>
                </c:pt>
                <c:pt idx="364">
                  <c:v>45470.552835648145</c:v>
                </c:pt>
                <c:pt idx="365">
                  <c:v>45470.553067129629</c:v>
                </c:pt>
                <c:pt idx="366">
                  <c:v>45470.553298611114</c:v>
                </c:pt>
                <c:pt idx="367">
                  <c:v>45470.553530092591</c:v>
                </c:pt>
                <c:pt idx="368">
                  <c:v>45470.553761574076</c:v>
                </c:pt>
                <c:pt idx="369">
                  <c:v>45470.553993055553</c:v>
                </c:pt>
                <c:pt idx="370">
                  <c:v>45470.554224537038</c:v>
                </c:pt>
                <c:pt idx="371">
                  <c:v>45470.554456018515</c:v>
                </c:pt>
                <c:pt idx="372">
                  <c:v>45470.5546875</c:v>
                </c:pt>
                <c:pt idx="373">
                  <c:v>45470.554918981485</c:v>
                </c:pt>
                <c:pt idx="374">
                  <c:v>45470.555150462962</c:v>
                </c:pt>
                <c:pt idx="375">
                  <c:v>45470.555381944447</c:v>
                </c:pt>
                <c:pt idx="376">
                  <c:v>45470.555613425924</c:v>
                </c:pt>
                <c:pt idx="377">
                  <c:v>45470.555844907409</c:v>
                </c:pt>
                <c:pt idx="378">
                  <c:v>45470.556076388886</c:v>
                </c:pt>
                <c:pt idx="379">
                  <c:v>45470.556307870371</c:v>
                </c:pt>
                <c:pt idx="380">
                  <c:v>45470.556539351855</c:v>
                </c:pt>
                <c:pt idx="381">
                  <c:v>45470.556770833333</c:v>
                </c:pt>
                <c:pt idx="382">
                  <c:v>45470.557002314818</c:v>
                </c:pt>
                <c:pt idx="383">
                  <c:v>45470.557233796295</c:v>
                </c:pt>
                <c:pt idx="384">
                  <c:v>45470.55746527778</c:v>
                </c:pt>
                <c:pt idx="385">
                  <c:v>45470.557696759257</c:v>
                </c:pt>
                <c:pt idx="386">
                  <c:v>45470.557928240742</c:v>
                </c:pt>
                <c:pt idx="387">
                  <c:v>45470.558159722219</c:v>
                </c:pt>
                <c:pt idx="388">
                  <c:v>45470.558391203704</c:v>
                </c:pt>
                <c:pt idx="389">
                  <c:v>45470.558622685188</c:v>
                </c:pt>
                <c:pt idx="390">
                  <c:v>45470.558854166666</c:v>
                </c:pt>
                <c:pt idx="391">
                  <c:v>45470.55908564815</c:v>
                </c:pt>
                <c:pt idx="392">
                  <c:v>45470.559317129628</c:v>
                </c:pt>
                <c:pt idx="393">
                  <c:v>45470.559548611112</c:v>
                </c:pt>
                <c:pt idx="394">
                  <c:v>45470.55978009259</c:v>
                </c:pt>
                <c:pt idx="395">
                  <c:v>45470.560011574074</c:v>
                </c:pt>
                <c:pt idx="396">
                  <c:v>45470.560243055559</c:v>
                </c:pt>
                <c:pt idx="397">
                  <c:v>45470.560474537036</c:v>
                </c:pt>
                <c:pt idx="398">
                  <c:v>45470.560706018521</c:v>
                </c:pt>
                <c:pt idx="399">
                  <c:v>45470.560937499999</c:v>
                </c:pt>
                <c:pt idx="400">
                  <c:v>45470.561168981483</c:v>
                </c:pt>
                <c:pt idx="401">
                  <c:v>45470.561400462961</c:v>
                </c:pt>
                <c:pt idx="402">
                  <c:v>45470.561631944445</c:v>
                </c:pt>
                <c:pt idx="403">
                  <c:v>45470.561863425923</c:v>
                </c:pt>
                <c:pt idx="404">
                  <c:v>45470.562094907407</c:v>
                </c:pt>
                <c:pt idx="405">
                  <c:v>45470.562326388892</c:v>
                </c:pt>
                <c:pt idx="406">
                  <c:v>45470.562557870369</c:v>
                </c:pt>
                <c:pt idx="407">
                  <c:v>45470.562789351854</c:v>
                </c:pt>
                <c:pt idx="408">
                  <c:v>45470.563020833331</c:v>
                </c:pt>
                <c:pt idx="409">
                  <c:v>45470.563252314816</c:v>
                </c:pt>
                <c:pt idx="410">
                  <c:v>45470.563483796293</c:v>
                </c:pt>
                <c:pt idx="411">
                  <c:v>45470.563715277778</c:v>
                </c:pt>
                <c:pt idx="412">
                  <c:v>45470.563946759263</c:v>
                </c:pt>
                <c:pt idx="413">
                  <c:v>45470.56417824074</c:v>
                </c:pt>
                <c:pt idx="414">
                  <c:v>45470.564409722225</c:v>
                </c:pt>
                <c:pt idx="415">
                  <c:v>45470.564641203702</c:v>
                </c:pt>
                <c:pt idx="416">
                  <c:v>45470.564872685187</c:v>
                </c:pt>
                <c:pt idx="417">
                  <c:v>45470.565104166664</c:v>
                </c:pt>
                <c:pt idx="418">
                  <c:v>45470.565335648149</c:v>
                </c:pt>
                <c:pt idx="419">
                  <c:v>45470.565567129626</c:v>
                </c:pt>
                <c:pt idx="420">
                  <c:v>45470.565798611111</c:v>
                </c:pt>
                <c:pt idx="421">
                  <c:v>45470.566030092596</c:v>
                </c:pt>
                <c:pt idx="422">
                  <c:v>45470.566261574073</c:v>
                </c:pt>
                <c:pt idx="423">
                  <c:v>45470.566493055558</c:v>
                </c:pt>
                <c:pt idx="424">
                  <c:v>45470.566724537035</c:v>
                </c:pt>
                <c:pt idx="425">
                  <c:v>45470.56695601852</c:v>
                </c:pt>
                <c:pt idx="426">
                  <c:v>45470.567187499997</c:v>
                </c:pt>
                <c:pt idx="427">
                  <c:v>45470.567418981482</c:v>
                </c:pt>
                <c:pt idx="428">
                  <c:v>45470.567650462966</c:v>
                </c:pt>
                <c:pt idx="429">
                  <c:v>45470.567881944444</c:v>
                </c:pt>
                <c:pt idx="430">
                  <c:v>45470.568113425928</c:v>
                </c:pt>
                <c:pt idx="431">
                  <c:v>45470.568344907406</c:v>
                </c:pt>
                <c:pt idx="432">
                  <c:v>45470.568576388891</c:v>
                </c:pt>
                <c:pt idx="433">
                  <c:v>45470.568807870368</c:v>
                </c:pt>
                <c:pt idx="434">
                  <c:v>45470.569039351853</c:v>
                </c:pt>
                <c:pt idx="435">
                  <c:v>45470.56927083333</c:v>
                </c:pt>
                <c:pt idx="436">
                  <c:v>45470.569502314815</c:v>
                </c:pt>
                <c:pt idx="437">
                  <c:v>45470.569733796299</c:v>
                </c:pt>
                <c:pt idx="438">
                  <c:v>45470.569965277777</c:v>
                </c:pt>
                <c:pt idx="439">
                  <c:v>45470.570196759261</c:v>
                </c:pt>
                <c:pt idx="440">
                  <c:v>45470.570428240739</c:v>
                </c:pt>
                <c:pt idx="441">
                  <c:v>45470.570659722223</c:v>
                </c:pt>
                <c:pt idx="442">
                  <c:v>45470.570891203701</c:v>
                </c:pt>
                <c:pt idx="443">
                  <c:v>45470.571122685185</c:v>
                </c:pt>
                <c:pt idx="444">
                  <c:v>45470.57135416667</c:v>
                </c:pt>
                <c:pt idx="445">
                  <c:v>45470.571585648147</c:v>
                </c:pt>
                <c:pt idx="446">
                  <c:v>45470.571817129632</c:v>
                </c:pt>
                <c:pt idx="447">
                  <c:v>45470.572048611109</c:v>
                </c:pt>
                <c:pt idx="448">
                  <c:v>45470.572280092594</c:v>
                </c:pt>
                <c:pt idx="449">
                  <c:v>45470.572511574072</c:v>
                </c:pt>
                <c:pt idx="450">
                  <c:v>45470.572743055556</c:v>
                </c:pt>
                <c:pt idx="451">
                  <c:v>45470.572974537034</c:v>
                </c:pt>
                <c:pt idx="452">
                  <c:v>45470.573206018518</c:v>
                </c:pt>
                <c:pt idx="453">
                  <c:v>45470.573437500003</c:v>
                </c:pt>
                <c:pt idx="454">
                  <c:v>45470.57366898148</c:v>
                </c:pt>
                <c:pt idx="455">
                  <c:v>45470.573900462965</c:v>
                </c:pt>
                <c:pt idx="456">
                  <c:v>45470.574131944442</c:v>
                </c:pt>
                <c:pt idx="457">
                  <c:v>45470.574363425927</c:v>
                </c:pt>
                <c:pt idx="458">
                  <c:v>45470.574594907404</c:v>
                </c:pt>
                <c:pt idx="459">
                  <c:v>45470.574826388889</c:v>
                </c:pt>
                <c:pt idx="460">
                  <c:v>45470.575057870374</c:v>
                </c:pt>
                <c:pt idx="461">
                  <c:v>45470.575289351851</c:v>
                </c:pt>
                <c:pt idx="462">
                  <c:v>45470.575520833336</c:v>
                </c:pt>
                <c:pt idx="463">
                  <c:v>45470.575752314813</c:v>
                </c:pt>
                <c:pt idx="464">
                  <c:v>45470.575983796298</c:v>
                </c:pt>
                <c:pt idx="465">
                  <c:v>45470.576215277775</c:v>
                </c:pt>
                <c:pt idx="466">
                  <c:v>45470.57644675926</c:v>
                </c:pt>
                <c:pt idx="467">
                  <c:v>45470.576678240737</c:v>
                </c:pt>
                <c:pt idx="468">
                  <c:v>45470.576909722222</c:v>
                </c:pt>
                <c:pt idx="469">
                  <c:v>45470.577141203707</c:v>
                </c:pt>
                <c:pt idx="470">
                  <c:v>45470.577372685184</c:v>
                </c:pt>
                <c:pt idx="471">
                  <c:v>45470.577604166669</c:v>
                </c:pt>
                <c:pt idx="472">
                  <c:v>45470.577835648146</c:v>
                </c:pt>
                <c:pt idx="473">
                  <c:v>45470.578067129631</c:v>
                </c:pt>
                <c:pt idx="474">
                  <c:v>45470.578298611108</c:v>
                </c:pt>
                <c:pt idx="475">
                  <c:v>45470.578530092593</c:v>
                </c:pt>
                <c:pt idx="476">
                  <c:v>45470.578761574077</c:v>
                </c:pt>
                <c:pt idx="477">
                  <c:v>45470.578993055555</c:v>
                </c:pt>
                <c:pt idx="478">
                  <c:v>45470.579224537039</c:v>
                </c:pt>
                <c:pt idx="479">
                  <c:v>45470.579456018517</c:v>
                </c:pt>
                <c:pt idx="480">
                  <c:v>45470.579687500001</c:v>
                </c:pt>
                <c:pt idx="481">
                  <c:v>45470.579918981479</c:v>
                </c:pt>
                <c:pt idx="482">
                  <c:v>45470.580150462964</c:v>
                </c:pt>
                <c:pt idx="483">
                  <c:v>45470.580381944441</c:v>
                </c:pt>
                <c:pt idx="484">
                  <c:v>45470.580613425926</c:v>
                </c:pt>
                <c:pt idx="485">
                  <c:v>45470.58084490741</c:v>
                </c:pt>
                <c:pt idx="486">
                  <c:v>45470.581076388888</c:v>
                </c:pt>
                <c:pt idx="487">
                  <c:v>45470.581307870372</c:v>
                </c:pt>
                <c:pt idx="488">
                  <c:v>45470.58153935185</c:v>
                </c:pt>
                <c:pt idx="489">
                  <c:v>45470.581770833334</c:v>
                </c:pt>
                <c:pt idx="490">
                  <c:v>45470.582002314812</c:v>
                </c:pt>
                <c:pt idx="491">
                  <c:v>45470.582233796296</c:v>
                </c:pt>
                <c:pt idx="492">
                  <c:v>45470.582465277781</c:v>
                </c:pt>
                <c:pt idx="493">
                  <c:v>45470.582696759258</c:v>
                </c:pt>
                <c:pt idx="494">
                  <c:v>45470.582928240743</c:v>
                </c:pt>
                <c:pt idx="495">
                  <c:v>45470.58315972222</c:v>
                </c:pt>
                <c:pt idx="496">
                  <c:v>45470.583391203705</c:v>
                </c:pt>
                <c:pt idx="497">
                  <c:v>45470.583622685182</c:v>
                </c:pt>
                <c:pt idx="498">
                  <c:v>45470.583854166667</c:v>
                </c:pt>
                <c:pt idx="499">
                  <c:v>45470.584085648145</c:v>
                </c:pt>
                <c:pt idx="500">
                  <c:v>45470.584317129629</c:v>
                </c:pt>
                <c:pt idx="501">
                  <c:v>45470.584548611114</c:v>
                </c:pt>
                <c:pt idx="502">
                  <c:v>45470.584780092591</c:v>
                </c:pt>
                <c:pt idx="503">
                  <c:v>45470.585011574076</c:v>
                </c:pt>
                <c:pt idx="504">
                  <c:v>45470.585243055553</c:v>
                </c:pt>
                <c:pt idx="505">
                  <c:v>45470.585474537038</c:v>
                </c:pt>
                <c:pt idx="506">
                  <c:v>45470.585706018515</c:v>
                </c:pt>
                <c:pt idx="507">
                  <c:v>45470.5859375</c:v>
                </c:pt>
                <c:pt idx="508">
                  <c:v>45470.586168981485</c:v>
                </c:pt>
                <c:pt idx="509">
                  <c:v>45470.586400462962</c:v>
                </c:pt>
                <c:pt idx="510">
                  <c:v>45470.586631944447</c:v>
                </c:pt>
                <c:pt idx="511">
                  <c:v>45470.586863425924</c:v>
                </c:pt>
                <c:pt idx="512">
                  <c:v>45470.587094907409</c:v>
                </c:pt>
                <c:pt idx="513">
                  <c:v>45470.587326388886</c:v>
                </c:pt>
                <c:pt idx="514">
                  <c:v>45470.587557870371</c:v>
                </c:pt>
                <c:pt idx="515">
                  <c:v>45470.587789351855</c:v>
                </c:pt>
                <c:pt idx="516">
                  <c:v>45470.588020833333</c:v>
                </c:pt>
                <c:pt idx="517">
                  <c:v>45470.588252314818</c:v>
                </c:pt>
                <c:pt idx="518">
                  <c:v>45470.588483796295</c:v>
                </c:pt>
                <c:pt idx="519">
                  <c:v>45470.58871527778</c:v>
                </c:pt>
                <c:pt idx="520">
                  <c:v>45470.588946759257</c:v>
                </c:pt>
                <c:pt idx="521">
                  <c:v>45470.589178240742</c:v>
                </c:pt>
                <c:pt idx="522">
                  <c:v>45470.589409722219</c:v>
                </c:pt>
                <c:pt idx="523">
                  <c:v>45470.589641203704</c:v>
                </c:pt>
                <c:pt idx="524">
                  <c:v>45470.589872685188</c:v>
                </c:pt>
                <c:pt idx="525">
                  <c:v>45470.590104166666</c:v>
                </c:pt>
                <c:pt idx="526">
                  <c:v>45470.59033564815</c:v>
                </c:pt>
                <c:pt idx="527">
                  <c:v>45470.590567129628</c:v>
                </c:pt>
                <c:pt idx="528">
                  <c:v>45470.590798611112</c:v>
                </c:pt>
                <c:pt idx="529">
                  <c:v>45470.59103009259</c:v>
                </c:pt>
                <c:pt idx="530">
                  <c:v>45470.591261574074</c:v>
                </c:pt>
                <c:pt idx="531">
                  <c:v>45470.591493055559</c:v>
                </c:pt>
                <c:pt idx="532">
                  <c:v>45470.591724537036</c:v>
                </c:pt>
                <c:pt idx="533">
                  <c:v>45470.591956018521</c:v>
                </c:pt>
                <c:pt idx="534">
                  <c:v>45470.592187499999</c:v>
                </c:pt>
                <c:pt idx="535">
                  <c:v>45470.592418981483</c:v>
                </c:pt>
                <c:pt idx="536">
                  <c:v>45470.592650462961</c:v>
                </c:pt>
                <c:pt idx="537">
                  <c:v>45470.592881944445</c:v>
                </c:pt>
                <c:pt idx="538">
                  <c:v>45470.593113425923</c:v>
                </c:pt>
                <c:pt idx="539">
                  <c:v>45470.593344907407</c:v>
                </c:pt>
                <c:pt idx="540">
                  <c:v>45470.593576388892</c:v>
                </c:pt>
                <c:pt idx="541">
                  <c:v>45470.593807870369</c:v>
                </c:pt>
                <c:pt idx="542">
                  <c:v>45470.594039351854</c:v>
                </c:pt>
                <c:pt idx="543">
                  <c:v>45470.594270833331</c:v>
                </c:pt>
                <c:pt idx="544">
                  <c:v>45470.594502314816</c:v>
                </c:pt>
                <c:pt idx="545">
                  <c:v>45470.594733796293</c:v>
                </c:pt>
                <c:pt idx="546">
                  <c:v>45470.594965277778</c:v>
                </c:pt>
                <c:pt idx="547">
                  <c:v>45470.595196759263</c:v>
                </c:pt>
                <c:pt idx="548">
                  <c:v>45470.59542824074</c:v>
                </c:pt>
                <c:pt idx="549">
                  <c:v>45470.595659722225</c:v>
                </c:pt>
                <c:pt idx="550">
                  <c:v>45470.595891203702</c:v>
                </c:pt>
                <c:pt idx="551">
                  <c:v>45470.596122685187</c:v>
                </c:pt>
                <c:pt idx="552">
                  <c:v>45470.596354166664</c:v>
                </c:pt>
                <c:pt idx="553">
                  <c:v>45470.596585648149</c:v>
                </c:pt>
                <c:pt idx="554">
                  <c:v>45470.596817129626</c:v>
                </c:pt>
                <c:pt idx="555">
                  <c:v>45470.597048611111</c:v>
                </c:pt>
                <c:pt idx="556">
                  <c:v>45470.597280092596</c:v>
                </c:pt>
                <c:pt idx="557">
                  <c:v>45470.597511574073</c:v>
                </c:pt>
                <c:pt idx="558">
                  <c:v>45470.597743055558</c:v>
                </c:pt>
                <c:pt idx="559">
                  <c:v>45470.597974537035</c:v>
                </c:pt>
                <c:pt idx="560">
                  <c:v>45470.59820601852</c:v>
                </c:pt>
                <c:pt idx="561">
                  <c:v>45470.598437499997</c:v>
                </c:pt>
                <c:pt idx="562">
                  <c:v>45470.598668981482</c:v>
                </c:pt>
                <c:pt idx="563">
                  <c:v>45470.598900462966</c:v>
                </c:pt>
                <c:pt idx="564">
                  <c:v>45470.599131944444</c:v>
                </c:pt>
                <c:pt idx="565">
                  <c:v>45470.599363425928</c:v>
                </c:pt>
                <c:pt idx="566">
                  <c:v>45470.599594907406</c:v>
                </c:pt>
                <c:pt idx="567">
                  <c:v>45470.599826388891</c:v>
                </c:pt>
                <c:pt idx="568">
                  <c:v>45470.600057870368</c:v>
                </c:pt>
                <c:pt idx="569">
                  <c:v>45470.600289351853</c:v>
                </c:pt>
                <c:pt idx="570">
                  <c:v>45470.60052083333</c:v>
                </c:pt>
                <c:pt idx="571">
                  <c:v>45470.600752314815</c:v>
                </c:pt>
                <c:pt idx="572">
                  <c:v>45470.600983796299</c:v>
                </c:pt>
                <c:pt idx="573">
                  <c:v>45470.601215277777</c:v>
                </c:pt>
                <c:pt idx="574">
                  <c:v>45470.601446759261</c:v>
                </c:pt>
                <c:pt idx="575">
                  <c:v>45470.601678240739</c:v>
                </c:pt>
                <c:pt idx="576">
                  <c:v>45470.601909722223</c:v>
                </c:pt>
                <c:pt idx="577">
                  <c:v>45470.602141203701</c:v>
                </c:pt>
                <c:pt idx="578">
                  <c:v>45470.602372685185</c:v>
                </c:pt>
              </c:numCache>
            </c:numRef>
          </c:xVal>
          <c:yVal>
            <c:numRef>
              <c:f>Feuil1!$B$1:$B$579</c:f>
              <c:numCache>
                <c:formatCode>General</c:formatCode>
                <c:ptCount val="579"/>
                <c:pt idx="0">
                  <c:v>1.714E-3</c:v>
                </c:pt>
                <c:pt idx="1">
                  <c:v>1.7899999999999999E-3</c:v>
                </c:pt>
                <c:pt idx="2">
                  <c:v>1.807E-3</c:v>
                </c:pt>
                <c:pt idx="3">
                  <c:v>1.8630000000000001E-3</c:v>
                </c:pt>
                <c:pt idx="4">
                  <c:v>2.1069999999999999E-3</c:v>
                </c:pt>
                <c:pt idx="5">
                  <c:v>1.6149999999999999E-3</c:v>
                </c:pt>
                <c:pt idx="6">
                  <c:v>1.74E-3</c:v>
                </c:pt>
                <c:pt idx="7">
                  <c:v>1.65E-3</c:v>
                </c:pt>
                <c:pt idx="8">
                  <c:v>1.951E-3</c:v>
                </c:pt>
                <c:pt idx="9">
                  <c:v>1.755E-3</c:v>
                </c:pt>
                <c:pt idx="10">
                  <c:v>1.7290000000000001E-3</c:v>
                </c:pt>
                <c:pt idx="11">
                  <c:v>1.6299999999999999E-3</c:v>
                </c:pt>
                <c:pt idx="12">
                  <c:v>1.503E-3</c:v>
                </c:pt>
                <c:pt idx="13">
                  <c:v>1.5100000000000001E-3</c:v>
                </c:pt>
                <c:pt idx="14">
                  <c:v>1.7849999999999999E-3</c:v>
                </c:pt>
                <c:pt idx="15">
                  <c:v>1.5319999999999999E-3</c:v>
                </c:pt>
                <c:pt idx="16">
                  <c:v>1.7049999999999999E-3</c:v>
                </c:pt>
                <c:pt idx="17">
                  <c:v>1.879E-3</c:v>
                </c:pt>
                <c:pt idx="18">
                  <c:v>2E-3</c:v>
                </c:pt>
                <c:pt idx="19">
                  <c:v>1.915E-3</c:v>
                </c:pt>
                <c:pt idx="20">
                  <c:v>2.1180000000000001E-3</c:v>
                </c:pt>
                <c:pt idx="21">
                  <c:v>2.183E-3</c:v>
                </c:pt>
                <c:pt idx="22">
                  <c:v>2.1389999999999998E-3</c:v>
                </c:pt>
                <c:pt idx="23">
                  <c:v>2.1940000000000002E-3</c:v>
                </c:pt>
                <c:pt idx="24">
                  <c:v>1.8879999999999999E-3</c:v>
                </c:pt>
                <c:pt idx="25">
                  <c:v>1.725E-3</c:v>
                </c:pt>
                <c:pt idx="26">
                  <c:v>2.036E-3</c:v>
                </c:pt>
                <c:pt idx="27">
                  <c:v>1.8550000000000001E-3</c:v>
                </c:pt>
                <c:pt idx="28">
                  <c:v>1.74E-3</c:v>
                </c:pt>
                <c:pt idx="29">
                  <c:v>1.438E-3</c:v>
                </c:pt>
                <c:pt idx="30">
                  <c:v>1.5330000000000001E-3</c:v>
                </c:pt>
                <c:pt idx="31">
                  <c:v>1.8420000000000001E-3</c:v>
                </c:pt>
                <c:pt idx="32">
                  <c:v>1.6659999999999999E-3</c:v>
                </c:pt>
                <c:pt idx="33">
                  <c:v>1.9070000000000001E-3</c:v>
                </c:pt>
                <c:pt idx="34">
                  <c:v>1.9369999999999999E-3</c:v>
                </c:pt>
                <c:pt idx="35">
                  <c:v>1.6559999999999999E-3</c:v>
                </c:pt>
                <c:pt idx="36">
                  <c:v>1.931E-3</c:v>
                </c:pt>
                <c:pt idx="37">
                  <c:v>1.4809999999999999E-3</c:v>
                </c:pt>
                <c:pt idx="38">
                  <c:v>2.0590000000000001E-3</c:v>
                </c:pt>
                <c:pt idx="39">
                  <c:v>1.9059999999999999E-3</c:v>
                </c:pt>
                <c:pt idx="40">
                  <c:v>2.0140000000000002E-3</c:v>
                </c:pt>
                <c:pt idx="41">
                  <c:v>2.147E-3</c:v>
                </c:pt>
                <c:pt idx="42">
                  <c:v>2.0470000000000002E-3</c:v>
                </c:pt>
                <c:pt idx="43">
                  <c:v>1.98E-3</c:v>
                </c:pt>
                <c:pt idx="44">
                  <c:v>1.9959999999999999E-3</c:v>
                </c:pt>
                <c:pt idx="45">
                  <c:v>2.036E-3</c:v>
                </c:pt>
                <c:pt idx="46">
                  <c:v>2.1719999999999999E-3</c:v>
                </c:pt>
                <c:pt idx="47">
                  <c:v>2.1120000000000002E-3</c:v>
                </c:pt>
                <c:pt idx="48">
                  <c:v>2.3029999999999999E-3</c:v>
                </c:pt>
                <c:pt idx="49">
                  <c:v>2.1329999999999999E-3</c:v>
                </c:pt>
                <c:pt idx="50">
                  <c:v>2.2039999999999998E-3</c:v>
                </c:pt>
                <c:pt idx="51">
                  <c:v>1.9680000000000001E-3</c:v>
                </c:pt>
                <c:pt idx="52">
                  <c:v>2.1210000000000001E-3</c:v>
                </c:pt>
                <c:pt idx="53">
                  <c:v>1.9269999999999999E-3</c:v>
                </c:pt>
                <c:pt idx="54">
                  <c:v>2.1250000000000002E-3</c:v>
                </c:pt>
                <c:pt idx="55">
                  <c:v>2.1099999999999999E-3</c:v>
                </c:pt>
                <c:pt idx="56">
                  <c:v>1.9170000000000001E-3</c:v>
                </c:pt>
                <c:pt idx="57">
                  <c:v>1.7949999999999999E-3</c:v>
                </c:pt>
                <c:pt idx="58">
                  <c:v>1.7290000000000001E-3</c:v>
                </c:pt>
                <c:pt idx="59">
                  <c:v>1.923E-3</c:v>
                </c:pt>
                <c:pt idx="60">
                  <c:v>1.9880000000000002E-3</c:v>
                </c:pt>
                <c:pt idx="61">
                  <c:v>1.9689999999999998E-3</c:v>
                </c:pt>
                <c:pt idx="62">
                  <c:v>1.8420000000000001E-3</c:v>
                </c:pt>
                <c:pt idx="63">
                  <c:v>1.8060000000000001E-3</c:v>
                </c:pt>
                <c:pt idx="64">
                  <c:v>1.818E-3</c:v>
                </c:pt>
                <c:pt idx="65">
                  <c:v>2.787E-3</c:v>
                </c:pt>
                <c:pt idx="66">
                  <c:v>1.5709999999999999E-3</c:v>
                </c:pt>
                <c:pt idx="67">
                  <c:v>1.5560000000000001E-3</c:v>
                </c:pt>
                <c:pt idx="68">
                  <c:v>2.5999999999999998E-4</c:v>
                </c:pt>
                <c:pt idx="69">
                  <c:v>2.1380000000000001E-3</c:v>
                </c:pt>
                <c:pt idx="70">
                  <c:v>2.843E-3</c:v>
                </c:pt>
                <c:pt idx="71">
                  <c:v>2.4369999999999999E-3</c:v>
                </c:pt>
                <c:pt idx="72">
                  <c:v>2.4740000000000001E-3</c:v>
                </c:pt>
                <c:pt idx="73">
                  <c:v>2.183E-3</c:v>
                </c:pt>
                <c:pt idx="74">
                  <c:v>1.885E-3</c:v>
                </c:pt>
                <c:pt idx="75">
                  <c:v>2.715E-3</c:v>
                </c:pt>
                <c:pt idx="76">
                  <c:v>1.691E-3</c:v>
                </c:pt>
                <c:pt idx="77">
                  <c:v>1.4519999999999999E-3</c:v>
                </c:pt>
                <c:pt idx="78">
                  <c:v>1.892E-3</c:v>
                </c:pt>
                <c:pt idx="79">
                  <c:v>2.0939999999999999E-3</c:v>
                </c:pt>
                <c:pt idx="80">
                  <c:v>2.9190000000000002E-3</c:v>
                </c:pt>
                <c:pt idx="81">
                  <c:v>2.4380000000000001E-3</c:v>
                </c:pt>
                <c:pt idx="82">
                  <c:v>2.957E-3</c:v>
                </c:pt>
                <c:pt idx="83">
                  <c:v>2.836E-3</c:v>
                </c:pt>
                <c:pt idx="84">
                  <c:v>2.875E-3</c:v>
                </c:pt>
                <c:pt idx="85">
                  <c:v>3.1939999999999998E-3</c:v>
                </c:pt>
                <c:pt idx="86">
                  <c:v>3.5349999999999999E-3</c:v>
                </c:pt>
                <c:pt idx="87">
                  <c:v>2.9320000000000001E-3</c:v>
                </c:pt>
                <c:pt idx="88">
                  <c:v>2.9359999999999998E-3</c:v>
                </c:pt>
                <c:pt idx="89">
                  <c:v>2.9819999999999998E-3</c:v>
                </c:pt>
                <c:pt idx="90">
                  <c:v>3.542E-3</c:v>
                </c:pt>
                <c:pt idx="91">
                  <c:v>3.3999999999999998E-3</c:v>
                </c:pt>
                <c:pt idx="92">
                  <c:v>3.9300000000000003E-3</c:v>
                </c:pt>
                <c:pt idx="93">
                  <c:v>3.5829999999999998E-3</c:v>
                </c:pt>
                <c:pt idx="94">
                  <c:v>3.9230000000000003E-3</c:v>
                </c:pt>
                <c:pt idx="95">
                  <c:v>3.46E-3</c:v>
                </c:pt>
                <c:pt idx="96">
                  <c:v>3.754E-3</c:v>
                </c:pt>
                <c:pt idx="97">
                  <c:v>4.5110000000000003E-3</c:v>
                </c:pt>
                <c:pt idx="98">
                  <c:v>3.7039999999999998E-3</c:v>
                </c:pt>
                <c:pt idx="99">
                  <c:v>3.7420000000000001E-3</c:v>
                </c:pt>
                <c:pt idx="100">
                  <c:v>3.2060000000000001E-3</c:v>
                </c:pt>
                <c:pt idx="101">
                  <c:v>2.5300000000000001E-3</c:v>
                </c:pt>
                <c:pt idx="102">
                  <c:v>3.2780000000000001E-3</c:v>
                </c:pt>
                <c:pt idx="103">
                  <c:v>3.0920000000000001E-3</c:v>
                </c:pt>
                <c:pt idx="104">
                  <c:v>3.4039999999999999E-3</c:v>
                </c:pt>
                <c:pt idx="105">
                  <c:v>2.7880000000000001E-3</c:v>
                </c:pt>
                <c:pt idx="106">
                  <c:v>4.1000000000000003E-3</c:v>
                </c:pt>
                <c:pt idx="107">
                  <c:v>3.4680000000000002E-3</c:v>
                </c:pt>
                <c:pt idx="108">
                  <c:v>3.5569999999999998E-3</c:v>
                </c:pt>
                <c:pt idx="109">
                  <c:v>3.5990000000000002E-3</c:v>
                </c:pt>
                <c:pt idx="110">
                  <c:v>4.1349999999999998E-3</c:v>
                </c:pt>
                <c:pt idx="111">
                  <c:v>3.4169999999999999E-3</c:v>
                </c:pt>
                <c:pt idx="112">
                  <c:v>3.7269999999999998E-3</c:v>
                </c:pt>
                <c:pt idx="113">
                  <c:v>3.9020000000000001E-3</c:v>
                </c:pt>
                <c:pt idx="114">
                  <c:v>2.9030000000000002E-3</c:v>
                </c:pt>
                <c:pt idx="115">
                  <c:v>3.274E-3</c:v>
                </c:pt>
                <c:pt idx="116">
                  <c:v>4.3350000000000003E-3</c:v>
                </c:pt>
                <c:pt idx="117">
                  <c:v>3.591E-3</c:v>
                </c:pt>
                <c:pt idx="118">
                  <c:v>2.7910000000000001E-3</c:v>
                </c:pt>
                <c:pt idx="119">
                  <c:v>3.9399999999999999E-3</c:v>
                </c:pt>
                <c:pt idx="120">
                  <c:v>3.2529999999999998E-3</c:v>
                </c:pt>
                <c:pt idx="121">
                  <c:v>3.5750000000000001E-3</c:v>
                </c:pt>
                <c:pt idx="122">
                  <c:v>2.9989999999999999E-3</c:v>
                </c:pt>
                <c:pt idx="123">
                  <c:v>3.9870000000000001E-3</c:v>
                </c:pt>
                <c:pt idx="124">
                  <c:v>4.0889999999999998E-3</c:v>
                </c:pt>
                <c:pt idx="125">
                  <c:v>3.6809999999999998E-3</c:v>
                </c:pt>
                <c:pt idx="126">
                  <c:v>3.186E-3</c:v>
                </c:pt>
                <c:pt idx="127">
                  <c:v>4.1980000000000003E-3</c:v>
                </c:pt>
                <c:pt idx="128">
                  <c:v>3.718E-3</c:v>
                </c:pt>
                <c:pt idx="129">
                  <c:v>3.777E-3</c:v>
                </c:pt>
                <c:pt idx="130">
                  <c:v>3.5839999999999999E-3</c:v>
                </c:pt>
                <c:pt idx="131">
                  <c:v>3.2070000000000002E-3</c:v>
                </c:pt>
                <c:pt idx="132">
                  <c:v>2.9429999999999999E-3</c:v>
                </c:pt>
                <c:pt idx="133">
                  <c:v>3.8709999999999999E-3</c:v>
                </c:pt>
                <c:pt idx="134">
                  <c:v>4.1089999999999998E-3</c:v>
                </c:pt>
                <c:pt idx="135">
                  <c:v>3.784E-3</c:v>
                </c:pt>
                <c:pt idx="136">
                  <c:v>4.0819999999999997E-3</c:v>
                </c:pt>
                <c:pt idx="137">
                  <c:v>4.1599999999999996E-3</c:v>
                </c:pt>
                <c:pt idx="138">
                  <c:v>4.3909999999999999E-3</c:v>
                </c:pt>
                <c:pt idx="139">
                  <c:v>5.1289999999999999E-3</c:v>
                </c:pt>
                <c:pt idx="140">
                  <c:v>4.2420000000000001E-3</c:v>
                </c:pt>
                <c:pt idx="141">
                  <c:v>4.9360000000000003E-3</c:v>
                </c:pt>
                <c:pt idx="142">
                  <c:v>4.0810000000000004E-3</c:v>
                </c:pt>
                <c:pt idx="143">
                  <c:v>4.9839999999999997E-3</c:v>
                </c:pt>
                <c:pt idx="144">
                  <c:v>4.5989999999999998E-3</c:v>
                </c:pt>
                <c:pt idx="145">
                  <c:v>4.6719999999999999E-3</c:v>
                </c:pt>
                <c:pt idx="146">
                  <c:v>4.4759999999999999E-3</c:v>
                </c:pt>
                <c:pt idx="147">
                  <c:v>4.7559999999999998E-3</c:v>
                </c:pt>
                <c:pt idx="148">
                  <c:v>5.045E-3</c:v>
                </c:pt>
                <c:pt idx="149">
                  <c:v>5.4159999999999998E-3</c:v>
                </c:pt>
                <c:pt idx="150">
                  <c:v>5.1310000000000001E-3</c:v>
                </c:pt>
                <c:pt idx="151">
                  <c:v>5.0299999999999997E-3</c:v>
                </c:pt>
                <c:pt idx="152">
                  <c:v>4.4079999999999996E-3</c:v>
                </c:pt>
                <c:pt idx="153">
                  <c:v>4.7359999999999998E-3</c:v>
                </c:pt>
                <c:pt idx="154">
                  <c:v>4.5110000000000003E-3</c:v>
                </c:pt>
                <c:pt idx="155">
                  <c:v>4.5519999999999996E-3</c:v>
                </c:pt>
                <c:pt idx="156">
                  <c:v>4.5490000000000001E-3</c:v>
                </c:pt>
                <c:pt idx="157">
                  <c:v>4.1539999999999997E-3</c:v>
                </c:pt>
                <c:pt idx="158">
                  <c:v>4.7089999999999996E-3</c:v>
                </c:pt>
                <c:pt idx="159">
                  <c:v>4.7419999999999997E-3</c:v>
                </c:pt>
                <c:pt idx="160">
                  <c:v>4.3359999999999996E-3</c:v>
                </c:pt>
                <c:pt idx="161">
                  <c:v>4.6610000000000002E-3</c:v>
                </c:pt>
                <c:pt idx="162">
                  <c:v>4.2050000000000004E-3</c:v>
                </c:pt>
                <c:pt idx="163">
                  <c:v>4.2929999999999999E-3</c:v>
                </c:pt>
                <c:pt idx="164">
                  <c:v>4.6350000000000002E-3</c:v>
                </c:pt>
                <c:pt idx="165">
                  <c:v>5.0790000000000002E-3</c:v>
                </c:pt>
                <c:pt idx="166">
                  <c:v>4.4149999999999997E-3</c:v>
                </c:pt>
                <c:pt idx="167">
                  <c:v>4.1050000000000001E-3</c:v>
                </c:pt>
                <c:pt idx="168">
                  <c:v>4.9150000000000001E-3</c:v>
                </c:pt>
                <c:pt idx="169">
                  <c:v>4.8840000000000003E-3</c:v>
                </c:pt>
                <c:pt idx="170">
                  <c:v>4.0619999999999996E-3</c:v>
                </c:pt>
                <c:pt idx="171">
                  <c:v>4.47E-3</c:v>
                </c:pt>
                <c:pt idx="172">
                  <c:v>3.7559999999999998E-3</c:v>
                </c:pt>
                <c:pt idx="173">
                  <c:v>5.045E-3</c:v>
                </c:pt>
                <c:pt idx="174">
                  <c:v>4.1260000000000003E-3</c:v>
                </c:pt>
                <c:pt idx="175">
                  <c:v>4.9129999999999998E-3</c:v>
                </c:pt>
                <c:pt idx="176">
                  <c:v>4.7540000000000004E-3</c:v>
                </c:pt>
                <c:pt idx="177">
                  <c:v>4.4359999999999998E-3</c:v>
                </c:pt>
                <c:pt idx="178">
                  <c:v>5.2449999999999997E-3</c:v>
                </c:pt>
                <c:pt idx="179">
                  <c:v>4.8209999999999998E-3</c:v>
                </c:pt>
                <c:pt idx="180">
                  <c:v>4.3150000000000003E-3</c:v>
                </c:pt>
                <c:pt idx="181">
                  <c:v>4.2090000000000001E-3</c:v>
                </c:pt>
                <c:pt idx="182">
                  <c:v>4.6690000000000004E-3</c:v>
                </c:pt>
                <c:pt idx="183">
                  <c:v>4.3359999999999996E-3</c:v>
                </c:pt>
                <c:pt idx="184">
                  <c:v>4.8399999999999997E-3</c:v>
                </c:pt>
                <c:pt idx="185">
                  <c:v>4.5739999999999999E-3</c:v>
                </c:pt>
                <c:pt idx="186">
                  <c:v>5.1159999999999999E-3</c:v>
                </c:pt>
                <c:pt idx="187">
                  <c:v>5.0699999999999999E-3</c:v>
                </c:pt>
                <c:pt idx="188">
                  <c:v>5.0470000000000003E-3</c:v>
                </c:pt>
                <c:pt idx="189">
                  <c:v>5.4970000000000001E-3</c:v>
                </c:pt>
                <c:pt idx="190">
                  <c:v>5.4590000000000003E-3</c:v>
                </c:pt>
                <c:pt idx="191">
                  <c:v>6.339E-3</c:v>
                </c:pt>
                <c:pt idx="192">
                  <c:v>5.5009999999999998E-3</c:v>
                </c:pt>
                <c:pt idx="193">
                  <c:v>5.8259999999999996E-3</c:v>
                </c:pt>
                <c:pt idx="194">
                  <c:v>6.5329999999999997E-3</c:v>
                </c:pt>
                <c:pt idx="195">
                  <c:v>6.0359999999999997E-3</c:v>
                </c:pt>
                <c:pt idx="196">
                  <c:v>6.0229999999999997E-3</c:v>
                </c:pt>
                <c:pt idx="197">
                  <c:v>6.0219999999999996E-3</c:v>
                </c:pt>
                <c:pt idx="198">
                  <c:v>5.561E-3</c:v>
                </c:pt>
                <c:pt idx="199">
                  <c:v>6.5529999999999998E-3</c:v>
                </c:pt>
                <c:pt idx="200">
                  <c:v>5.6990000000000001E-3</c:v>
                </c:pt>
                <c:pt idx="201">
                  <c:v>5.7409999999999996E-3</c:v>
                </c:pt>
                <c:pt idx="202">
                  <c:v>6.3940000000000004E-3</c:v>
                </c:pt>
                <c:pt idx="203">
                  <c:v>5.672E-3</c:v>
                </c:pt>
                <c:pt idx="204">
                  <c:v>5.6699999999999997E-3</c:v>
                </c:pt>
                <c:pt idx="205">
                  <c:v>5.3629999999999997E-3</c:v>
                </c:pt>
                <c:pt idx="206">
                  <c:v>5.8919999999999997E-3</c:v>
                </c:pt>
                <c:pt idx="207">
                  <c:v>5.4530000000000004E-3</c:v>
                </c:pt>
                <c:pt idx="208">
                  <c:v>5.8869999999999999E-3</c:v>
                </c:pt>
                <c:pt idx="209">
                  <c:v>5.1900000000000002E-3</c:v>
                </c:pt>
                <c:pt idx="210">
                  <c:v>6.5399999999999998E-3</c:v>
                </c:pt>
                <c:pt idx="211">
                  <c:v>5.6379999999999998E-3</c:v>
                </c:pt>
                <c:pt idx="212">
                  <c:v>5.3049999999999998E-3</c:v>
                </c:pt>
                <c:pt idx="213">
                  <c:v>6.012E-3</c:v>
                </c:pt>
                <c:pt idx="214">
                  <c:v>5.5880000000000001E-3</c:v>
                </c:pt>
                <c:pt idx="215">
                  <c:v>5.8529999999999997E-3</c:v>
                </c:pt>
                <c:pt idx="216">
                  <c:v>5.084E-3</c:v>
                </c:pt>
                <c:pt idx="217">
                  <c:v>5.8729999999999997E-3</c:v>
                </c:pt>
                <c:pt idx="218">
                  <c:v>5.9719999999999999E-3</c:v>
                </c:pt>
                <c:pt idx="219">
                  <c:v>6.0870000000000004E-3</c:v>
                </c:pt>
                <c:pt idx="220">
                  <c:v>6.2160000000000002E-3</c:v>
                </c:pt>
                <c:pt idx="221">
                  <c:v>6.2680000000000001E-3</c:v>
                </c:pt>
                <c:pt idx="222">
                  <c:v>7.0070000000000002E-3</c:v>
                </c:pt>
                <c:pt idx="223">
                  <c:v>6.522E-3</c:v>
                </c:pt>
                <c:pt idx="224">
                  <c:v>5.9519999999999998E-3</c:v>
                </c:pt>
                <c:pt idx="225">
                  <c:v>5.4549999999999998E-3</c:v>
                </c:pt>
                <c:pt idx="226">
                  <c:v>6.3720000000000001E-3</c:v>
                </c:pt>
                <c:pt idx="227">
                  <c:v>5.8539999999999998E-3</c:v>
                </c:pt>
                <c:pt idx="228">
                  <c:v>5.6109999999999997E-3</c:v>
                </c:pt>
                <c:pt idx="229">
                  <c:v>6.3119999999999999E-3</c:v>
                </c:pt>
                <c:pt idx="230">
                  <c:v>6.0590000000000001E-3</c:v>
                </c:pt>
                <c:pt idx="231">
                  <c:v>5.9899999999999997E-3</c:v>
                </c:pt>
                <c:pt idx="232">
                  <c:v>6.0489999999999997E-3</c:v>
                </c:pt>
                <c:pt idx="233">
                  <c:v>5.182E-3</c:v>
                </c:pt>
                <c:pt idx="234">
                  <c:v>6.4840000000000002E-3</c:v>
                </c:pt>
                <c:pt idx="235">
                  <c:v>5.45E-3</c:v>
                </c:pt>
                <c:pt idx="236">
                  <c:v>5.7039999999999999E-3</c:v>
                </c:pt>
                <c:pt idx="237">
                  <c:v>5.7460000000000002E-3</c:v>
                </c:pt>
                <c:pt idx="238">
                  <c:v>6.0749999999999997E-3</c:v>
                </c:pt>
                <c:pt idx="239">
                  <c:v>5.8859999999999997E-3</c:v>
                </c:pt>
                <c:pt idx="240">
                  <c:v>7.3419999999999996E-3</c:v>
                </c:pt>
                <c:pt idx="241">
                  <c:v>6.6680000000000003E-3</c:v>
                </c:pt>
                <c:pt idx="242">
                  <c:v>6.7510000000000001E-3</c:v>
                </c:pt>
                <c:pt idx="243">
                  <c:v>6.2449999999999997E-3</c:v>
                </c:pt>
                <c:pt idx="244">
                  <c:v>6.9449999999999998E-3</c:v>
                </c:pt>
                <c:pt idx="245">
                  <c:v>5.9069999999999999E-3</c:v>
                </c:pt>
                <c:pt idx="246">
                  <c:v>6.0070000000000002E-3</c:v>
                </c:pt>
                <c:pt idx="247">
                  <c:v>6.816E-3</c:v>
                </c:pt>
                <c:pt idx="248">
                  <c:v>6.1399999999999996E-3</c:v>
                </c:pt>
                <c:pt idx="249">
                  <c:v>6.4850000000000003E-3</c:v>
                </c:pt>
                <c:pt idx="250">
                  <c:v>6.5779999999999996E-3</c:v>
                </c:pt>
                <c:pt idx="251">
                  <c:v>7.1050000000000002E-3</c:v>
                </c:pt>
                <c:pt idx="252">
                  <c:v>6.2350000000000001E-3</c:v>
                </c:pt>
                <c:pt idx="253">
                  <c:v>6.5960000000000003E-3</c:v>
                </c:pt>
                <c:pt idx="254">
                  <c:v>7.1650000000000004E-3</c:v>
                </c:pt>
                <c:pt idx="255">
                  <c:v>6.914E-3</c:v>
                </c:pt>
                <c:pt idx="256">
                  <c:v>7.4159999999999998E-3</c:v>
                </c:pt>
                <c:pt idx="257">
                  <c:v>6.5669999999999999E-3</c:v>
                </c:pt>
                <c:pt idx="258">
                  <c:v>6.2810000000000001E-3</c:v>
                </c:pt>
                <c:pt idx="259">
                  <c:v>7.4409999999999997E-3</c:v>
                </c:pt>
                <c:pt idx="260">
                  <c:v>7.0780000000000001E-3</c:v>
                </c:pt>
                <c:pt idx="261">
                  <c:v>6.6670000000000002E-3</c:v>
                </c:pt>
                <c:pt idx="262">
                  <c:v>6.9890000000000004E-3</c:v>
                </c:pt>
                <c:pt idx="263">
                  <c:v>6.6649999999999999E-3</c:v>
                </c:pt>
                <c:pt idx="264">
                  <c:v>7.254E-3</c:v>
                </c:pt>
                <c:pt idx="265">
                  <c:v>7.0679999999999996E-3</c:v>
                </c:pt>
                <c:pt idx="266">
                  <c:v>7.561E-3</c:v>
                </c:pt>
                <c:pt idx="267">
                  <c:v>6.973E-3</c:v>
                </c:pt>
                <c:pt idx="268">
                  <c:v>7.0949999999999997E-3</c:v>
                </c:pt>
                <c:pt idx="269">
                  <c:v>5.9930000000000001E-3</c:v>
                </c:pt>
                <c:pt idx="270">
                  <c:v>6.8300000000000001E-3</c:v>
                </c:pt>
                <c:pt idx="271">
                  <c:v>6.7970000000000001E-3</c:v>
                </c:pt>
                <c:pt idx="272">
                  <c:v>6.9040000000000004E-3</c:v>
                </c:pt>
                <c:pt idx="273">
                  <c:v>7.0730000000000003E-3</c:v>
                </c:pt>
                <c:pt idx="274">
                  <c:v>6.502E-3</c:v>
                </c:pt>
                <c:pt idx="275">
                  <c:v>6.685E-3</c:v>
                </c:pt>
                <c:pt idx="276">
                  <c:v>6.2350000000000001E-3</c:v>
                </c:pt>
                <c:pt idx="277">
                  <c:v>6.5560000000000002E-3</c:v>
                </c:pt>
                <c:pt idx="278">
                  <c:v>6.1500000000000001E-3</c:v>
                </c:pt>
                <c:pt idx="279">
                  <c:v>6.8250000000000003E-3</c:v>
                </c:pt>
                <c:pt idx="280">
                  <c:v>6.7219999999999997E-3</c:v>
                </c:pt>
                <c:pt idx="281">
                  <c:v>6.5550000000000001E-3</c:v>
                </c:pt>
                <c:pt idx="282">
                  <c:v>6.875E-3</c:v>
                </c:pt>
                <c:pt idx="283">
                  <c:v>7.1999999999999998E-3</c:v>
                </c:pt>
                <c:pt idx="284">
                  <c:v>6.8649999999999996E-3</c:v>
                </c:pt>
                <c:pt idx="285">
                  <c:v>8.2229999999999994E-3</c:v>
                </c:pt>
                <c:pt idx="286">
                  <c:v>8.2900000000000005E-3</c:v>
                </c:pt>
                <c:pt idx="287">
                  <c:v>7.7970000000000001E-3</c:v>
                </c:pt>
                <c:pt idx="288">
                  <c:v>8.0319999999999992E-3</c:v>
                </c:pt>
                <c:pt idx="289">
                  <c:v>7.4830000000000001E-3</c:v>
                </c:pt>
                <c:pt idx="290">
                  <c:v>8.1930000000000006E-3</c:v>
                </c:pt>
                <c:pt idx="291">
                  <c:v>7.5770000000000004E-3</c:v>
                </c:pt>
                <c:pt idx="292">
                  <c:v>7.5310000000000004E-3</c:v>
                </c:pt>
                <c:pt idx="293">
                  <c:v>7.7520000000000002E-3</c:v>
                </c:pt>
                <c:pt idx="294">
                  <c:v>7.6119999999999998E-3</c:v>
                </c:pt>
                <c:pt idx="295">
                  <c:v>7.6360000000000004E-3</c:v>
                </c:pt>
                <c:pt idx="296">
                  <c:v>7.3839999999999999E-3</c:v>
                </c:pt>
                <c:pt idx="297">
                  <c:v>7.6509999999999998E-3</c:v>
                </c:pt>
                <c:pt idx="298">
                  <c:v>8.2839999999999997E-3</c:v>
                </c:pt>
                <c:pt idx="299">
                  <c:v>8.1849999999999996E-3</c:v>
                </c:pt>
                <c:pt idx="300">
                  <c:v>8.0350000000000005E-3</c:v>
                </c:pt>
                <c:pt idx="301">
                  <c:v>7.3819999999999997E-3</c:v>
                </c:pt>
                <c:pt idx="302">
                  <c:v>8.0099999999999998E-3</c:v>
                </c:pt>
                <c:pt idx="303">
                  <c:v>7.737E-3</c:v>
                </c:pt>
                <c:pt idx="304">
                  <c:v>7.3920000000000001E-3</c:v>
                </c:pt>
                <c:pt idx="305">
                  <c:v>7.9609999999999993E-3</c:v>
                </c:pt>
                <c:pt idx="306">
                  <c:v>8.0149999999999996E-3</c:v>
                </c:pt>
                <c:pt idx="307">
                  <c:v>7.8879999999999992E-3</c:v>
                </c:pt>
                <c:pt idx="308">
                  <c:v>7.731E-3</c:v>
                </c:pt>
                <c:pt idx="309">
                  <c:v>8.1630000000000001E-3</c:v>
                </c:pt>
                <c:pt idx="310">
                  <c:v>7.8820000000000001E-3</c:v>
                </c:pt>
                <c:pt idx="311">
                  <c:v>7.3280000000000003E-3</c:v>
                </c:pt>
                <c:pt idx="312">
                  <c:v>8.1209999999999997E-3</c:v>
                </c:pt>
                <c:pt idx="313">
                  <c:v>7.9869999999999993E-3</c:v>
                </c:pt>
                <c:pt idx="314">
                  <c:v>7.3860000000000002E-3</c:v>
                </c:pt>
                <c:pt idx="315">
                  <c:v>7.4819999999999999E-3</c:v>
                </c:pt>
                <c:pt idx="316">
                  <c:v>7.6449999999999999E-3</c:v>
                </c:pt>
                <c:pt idx="317">
                  <c:v>7.6059999999999999E-3</c:v>
                </c:pt>
                <c:pt idx="318">
                  <c:v>7.5979999999999997E-3</c:v>
                </c:pt>
                <c:pt idx="319">
                  <c:v>7.5929999999999999E-3</c:v>
                </c:pt>
                <c:pt idx="320">
                  <c:v>7.2560000000000003E-3</c:v>
                </c:pt>
                <c:pt idx="321">
                  <c:v>7.8969999999999995E-3</c:v>
                </c:pt>
                <c:pt idx="322">
                  <c:v>7.4679999999999998E-3</c:v>
                </c:pt>
                <c:pt idx="323">
                  <c:v>7.757E-3</c:v>
                </c:pt>
                <c:pt idx="324">
                  <c:v>7.7850000000000003E-3</c:v>
                </c:pt>
                <c:pt idx="325">
                  <c:v>8.2520000000000007E-3</c:v>
                </c:pt>
                <c:pt idx="326">
                  <c:v>7.9810000000000002E-3</c:v>
                </c:pt>
                <c:pt idx="327">
                  <c:v>7.4900000000000001E-3</c:v>
                </c:pt>
                <c:pt idx="328">
                  <c:v>7.5449999999999996E-3</c:v>
                </c:pt>
                <c:pt idx="329">
                  <c:v>7.6080000000000002E-3</c:v>
                </c:pt>
                <c:pt idx="330">
                  <c:v>7.7079999999999996E-3</c:v>
                </c:pt>
                <c:pt idx="331">
                  <c:v>7.8370000000000002E-3</c:v>
                </c:pt>
                <c:pt idx="332">
                  <c:v>7.8709999999999995E-3</c:v>
                </c:pt>
                <c:pt idx="333">
                  <c:v>7.5040000000000003E-3</c:v>
                </c:pt>
                <c:pt idx="334">
                  <c:v>7.9039999999999996E-3</c:v>
                </c:pt>
                <c:pt idx="335">
                  <c:v>8.2089999999999993E-3</c:v>
                </c:pt>
                <c:pt idx="336">
                  <c:v>8.0669999999999995E-3</c:v>
                </c:pt>
                <c:pt idx="337">
                  <c:v>8.3669999999999994E-3</c:v>
                </c:pt>
                <c:pt idx="338">
                  <c:v>9.0930000000000004E-3</c:v>
                </c:pt>
                <c:pt idx="339">
                  <c:v>9.1020000000000007E-3</c:v>
                </c:pt>
                <c:pt idx="340">
                  <c:v>9.9590000000000008E-3</c:v>
                </c:pt>
                <c:pt idx="341">
                  <c:v>9.8019999999999999E-3</c:v>
                </c:pt>
                <c:pt idx="342">
                  <c:v>1.0187999999999999E-2</c:v>
                </c:pt>
                <c:pt idx="343">
                  <c:v>9.7149999999999997E-3</c:v>
                </c:pt>
                <c:pt idx="344">
                  <c:v>9.8239999999999994E-3</c:v>
                </c:pt>
                <c:pt idx="345">
                  <c:v>9.5499999999999995E-3</c:v>
                </c:pt>
                <c:pt idx="346">
                  <c:v>9.9640000000000006E-3</c:v>
                </c:pt>
                <c:pt idx="347">
                  <c:v>9.8569999999999994E-3</c:v>
                </c:pt>
                <c:pt idx="348">
                  <c:v>9.7199999999999995E-3</c:v>
                </c:pt>
                <c:pt idx="349">
                  <c:v>9.0889999999999999E-3</c:v>
                </c:pt>
                <c:pt idx="350">
                  <c:v>9.3980000000000001E-3</c:v>
                </c:pt>
                <c:pt idx="351">
                  <c:v>9.2659999999999999E-3</c:v>
                </c:pt>
                <c:pt idx="352">
                  <c:v>9.5359999999999993E-3</c:v>
                </c:pt>
                <c:pt idx="353">
                  <c:v>9.417E-3</c:v>
                </c:pt>
                <c:pt idx="354">
                  <c:v>9.1380000000000003E-3</c:v>
                </c:pt>
                <c:pt idx="355">
                  <c:v>9.0519999999999993E-3</c:v>
                </c:pt>
                <c:pt idx="356">
                  <c:v>9.1999999999999998E-3</c:v>
                </c:pt>
                <c:pt idx="357">
                  <c:v>9.4120000000000002E-3</c:v>
                </c:pt>
                <c:pt idx="358">
                  <c:v>9.6930000000000002E-3</c:v>
                </c:pt>
                <c:pt idx="359">
                  <c:v>9.6030000000000004E-3</c:v>
                </c:pt>
                <c:pt idx="360">
                  <c:v>9.1940000000000008E-3</c:v>
                </c:pt>
                <c:pt idx="361">
                  <c:v>9.4730000000000005E-3</c:v>
                </c:pt>
                <c:pt idx="362">
                  <c:v>9.3050000000000008E-3</c:v>
                </c:pt>
                <c:pt idx="363">
                  <c:v>9.5949999999999994E-3</c:v>
                </c:pt>
                <c:pt idx="364">
                  <c:v>9.6839999999999999E-3</c:v>
                </c:pt>
                <c:pt idx="365">
                  <c:v>9.7140000000000004E-3</c:v>
                </c:pt>
                <c:pt idx="366">
                  <c:v>9.051E-3</c:v>
                </c:pt>
                <c:pt idx="367">
                  <c:v>9.4230000000000008E-3</c:v>
                </c:pt>
                <c:pt idx="368">
                  <c:v>9.8969999999999995E-3</c:v>
                </c:pt>
                <c:pt idx="369">
                  <c:v>9.5180000000000004E-3</c:v>
                </c:pt>
                <c:pt idx="370">
                  <c:v>9.3980000000000001E-3</c:v>
                </c:pt>
                <c:pt idx="371">
                  <c:v>9.2090000000000002E-3</c:v>
                </c:pt>
                <c:pt idx="372">
                  <c:v>9.2189999999999998E-3</c:v>
                </c:pt>
                <c:pt idx="373">
                  <c:v>9.4680000000000007E-3</c:v>
                </c:pt>
                <c:pt idx="374">
                  <c:v>9.3519999999999992E-3</c:v>
                </c:pt>
                <c:pt idx="375">
                  <c:v>9.6880000000000004E-3</c:v>
                </c:pt>
                <c:pt idx="376">
                  <c:v>9.6729999999999993E-3</c:v>
                </c:pt>
                <c:pt idx="377">
                  <c:v>9.2079999999999992E-3</c:v>
                </c:pt>
                <c:pt idx="378">
                  <c:v>9.5270000000000007E-3</c:v>
                </c:pt>
                <c:pt idx="379">
                  <c:v>1.0034E-2</c:v>
                </c:pt>
                <c:pt idx="380">
                  <c:v>9.4610000000000007E-3</c:v>
                </c:pt>
                <c:pt idx="381">
                  <c:v>9.3390000000000001E-3</c:v>
                </c:pt>
                <c:pt idx="382">
                  <c:v>9.6100000000000005E-3</c:v>
                </c:pt>
                <c:pt idx="383">
                  <c:v>8.966E-3</c:v>
                </c:pt>
                <c:pt idx="384">
                  <c:v>9.4909999999999994E-3</c:v>
                </c:pt>
                <c:pt idx="385">
                  <c:v>9.9740000000000002E-3</c:v>
                </c:pt>
                <c:pt idx="386">
                  <c:v>9.2540000000000001E-3</c:v>
                </c:pt>
                <c:pt idx="387">
                  <c:v>9.1509999999999994E-3</c:v>
                </c:pt>
                <c:pt idx="388">
                  <c:v>9.4330000000000004E-3</c:v>
                </c:pt>
                <c:pt idx="389">
                  <c:v>9.332E-3</c:v>
                </c:pt>
                <c:pt idx="390">
                  <c:v>1.0214000000000001E-2</c:v>
                </c:pt>
                <c:pt idx="391">
                  <c:v>1.0066E-2</c:v>
                </c:pt>
                <c:pt idx="392">
                  <c:v>1.048E-2</c:v>
                </c:pt>
                <c:pt idx="393">
                  <c:v>1.0595E-2</c:v>
                </c:pt>
                <c:pt idx="394">
                  <c:v>1.0433E-2</c:v>
                </c:pt>
                <c:pt idx="395">
                  <c:v>1.0843E-2</c:v>
                </c:pt>
                <c:pt idx="396">
                  <c:v>1.0418999999999999E-2</c:v>
                </c:pt>
                <c:pt idx="397">
                  <c:v>1.0173E-2</c:v>
                </c:pt>
                <c:pt idx="398">
                  <c:v>1.1077999999999999E-2</c:v>
                </c:pt>
                <c:pt idx="399">
                  <c:v>1.0892000000000001E-2</c:v>
                </c:pt>
                <c:pt idx="400">
                  <c:v>1.0101000000000001E-2</c:v>
                </c:pt>
                <c:pt idx="401">
                  <c:v>9.5160000000000002E-3</c:v>
                </c:pt>
                <c:pt idx="402">
                  <c:v>9.9489999999999995E-3</c:v>
                </c:pt>
                <c:pt idx="403">
                  <c:v>1.0055E-2</c:v>
                </c:pt>
                <c:pt idx="404">
                  <c:v>1.0377000000000001E-2</c:v>
                </c:pt>
                <c:pt idx="405">
                  <c:v>1.0553999999999999E-2</c:v>
                </c:pt>
                <c:pt idx="406">
                  <c:v>1.0599000000000001E-2</c:v>
                </c:pt>
                <c:pt idx="407">
                  <c:v>1.0642E-2</c:v>
                </c:pt>
                <c:pt idx="408">
                  <c:v>1.0222999999999999E-2</c:v>
                </c:pt>
                <c:pt idx="409">
                  <c:v>1.0055E-2</c:v>
                </c:pt>
                <c:pt idx="410">
                  <c:v>1.0290000000000001E-2</c:v>
                </c:pt>
                <c:pt idx="411">
                  <c:v>1.0174000000000001E-2</c:v>
                </c:pt>
                <c:pt idx="412">
                  <c:v>1.0328E-2</c:v>
                </c:pt>
                <c:pt idx="413">
                  <c:v>1.0401000000000001E-2</c:v>
                </c:pt>
                <c:pt idx="414">
                  <c:v>1.0376E-2</c:v>
                </c:pt>
                <c:pt idx="415">
                  <c:v>1.0333999999999999E-2</c:v>
                </c:pt>
                <c:pt idx="416">
                  <c:v>1.0448000000000001E-2</c:v>
                </c:pt>
                <c:pt idx="417">
                  <c:v>1.0536999999999999E-2</c:v>
                </c:pt>
                <c:pt idx="418">
                  <c:v>1.0617E-2</c:v>
                </c:pt>
                <c:pt idx="419">
                  <c:v>1.0548999999999999E-2</c:v>
                </c:pt>
                <c:pt idx="420">
                  <c:v>1.0668E-2</c:v>
                </c:pt>
                <c:pt idx="421">
                  <c:v>1.0636E-2</c:v>
                </c:pt>
                <c:pt idx="422">
                  <c:v>1.0616E-2</c:v>
                </c:pt>
                <c:pt idx="423">
                  <c:v>1.0407E-2</c:v>
                </c:pt>
                <c:pt idx="424">
                  <c:v>1.0324E-2</c:v>
                </c:pt>
                <c:pt idx="425">
                  <c:v>1.0636E-2</c:v>
                </c:pt>
                <c:pt idx="426">
                  <c:v>1.0893999999999999E-2</c:v>
                </c:pt>
                <c:pt idx="427">
                  <c:v>1.073E-2</c:v>
                </c:pt>
                <c:pt idx="428">
                  <c:v>1.0527E-2</c:v>
                </c:pt>
                <c:pt idx="429">
                  <c:v>1.0869E-2</c:v>
                </c:pt>
                <c:pt idx="430">
                  <c:v>1.0253999999999999E-2</c:v>
                </c:pt>
                <c:pt idx="431">
                  <c:v>1.0166E-2</c:v>
                </c:pt>
                <c:pt idx="432">
                  <c:v>1.0940999999999999E-2</c:v>
                </c:pt>
                <c:pt idx="433">
                  <c:v>1.0933E-2</c:v>
                </c:pt>
                <c:pt idx="434">
                  <c:v>1.0255999999999999E-2</c:v>
                </c:pt>
                <c:pt idx="435">
                  <c:v>1.078E-2</c:v>
                </c:pt>
                <c:pt idx="436">
                  <c:v>1.0337000000000001E-2</c:v>
                </c:pt>
                <c:pt idx="437">
                  <c:v>1.0907E-2</c:v>
                </c:pt>
                <c:pt idx="438">
                  <c:v>1.0499E-2</c:v>
                </c:pt>
                <c:pt idx="439">
                  <c:v>1.0704E-2</c:v>
                </c:pt>
                <c:pt idx="440">
                  <c:v>1.1004E-2</c:v>
                </c:pt>
                <c:pt idx="441">
                  <c:v>1.1542999999999999E-2</c:v>
                </c:pt>
                <c:pt idx="442">
                  <c:v>1.1547E-2</c:v>
                </c:pt>
                <c:pt idx="443">
                  <c:v>1.0998000000000001E-2</c:v>
                </c:pt>
                <c:pt idx="444">
                  <c:v>1.1859E-2</c:v>
                </c:pt>
                <c:pt idx="445">
                  <c:v>1.1599999999999999E-2</c:v>
                </c:pt>
                <c:pt idx="446">
                  <c:v>1.0943E-2</c:v>
                </c:pt>
                <c:pt idx="447">
                  <c:v>1.1577E-2</c:v>
                </c:pt>
                <c:pt idx="448">
                  <c:v>1.0514000000000001E-2</c:v>
                </c:pt>
                <c:pt idx="449">
                  <c:v>1.056E-2</c:v>
                </c:pt>
                <c:pt idx="450">
                  <c:v>1.1011999999999999E-2</c:v>
                </c:pt>
                <c:pt idx="451">
                  <c:v>1.1133000000000001E-2</c:v>
                </c:pt>
                <c:pt idx="452">
                  <c:v>1.0983E-2</c:v>
                </c:pt>
                <c:pt idx="453">
                  <c:v>1.1195E-2</c:v>
                </c:pt>
                <c:pt idx="454">
                  <c:v>1.1278E-2</c:v>
                </c:pt>
                <c:pt idx="455">
                  <c:v>1.0737999999999999E-2</c:v>
                </c:pt>
                <c:pt idx="456">
                  <c:v>1.1032999999999999E-2</c:v>
                </c:pt>
                <c:pt idx="457">
                  <c:v>1.1258000000000001E-2</c:v>
                </c:pt>
                <c:pt idx="458">
                  <c:v>1.1129E-2</c:v>
                </c:pt>
                <c:pt idx="459">
                  <c:v>1.0888E-2</c:v>
                </c:pt>
                <c:pt idx="460">
                  <c:v>1.1927E-2</c:v>
                </c:pt>
                <c:pt idx="461">
                  <c:v>1.0736000000000001E-2</c:v>
                </c:pt>
                <c:pt idx="462">
                  <c:v>1.0821000000000001E-2</c:v>
                </c:pt>
                <c:pt idx="463">
                  <c:v>1.1972E-2</c:v>
                </c:pt>
                <c:pt idx="464">
                  <c:v>1.1679E-2</c:v>
                </c:pt>
                <c:pt idx="465">
                  <c:v>1.1205E-2</c:v>
                </c:pt>
                <c:pt idx="466">
                  <c:v>1.1205E-2</c:v>
                </c:pt>
                <c:pt idx="467">
                  <c:v>1.1417999999999999E-2</c:v>
                </c:pt>
                <c:pt idx="468">
                  <c:v>1.1429999999999999E-2</c:v>
                </c:pt>
                <c:pt idx="469">
                  <c:v>1.1623E-2</c:v>
                </c:pt>
                <c:pt idx="470">
                  <c:v>1.1783E-2</c:v>
                </c:pt>
                <c:pt idx="471">
                  <c:v>1.1872000000000001E-2</c:v>
                </c:pt>
                <c:pt idx="472">
                  <c:v>1.1820000000000001E-2</c:v>
                </c:pt>
                <c:pt idx="473">
                  <c:v>1.193E-2</c:v>
                </c:pt>
                <c:pt idx="474">
                  <c:v>1.1886000000000001E-2</c:v>
                </c:pt>
                <c:pt idx="475">
                  <c:v>1.2024999999999999E-2</c:v>
                </c:pt>
                <c:pt idx="476">
                  <c:v>1.1903E-2</c:v>
                </c:pt>
                <c:pt idx="477">
                  <c:v>1.1733E-2</c:v>
                </c:pt>
                <c:pt idx="478">
                  <c:v>1.1956E-2</c:v>
                </c:pt>
                <c:pt idx="479">
                  <c:v>1.2102E-2</c:v>
                </c:pt>
                <c:pt idx="480">
                  <c:v>1.209E-2</c:v>
                </c:pt>
                <c:pt idx="481">
                  <c:v>1.2092E-2</c:v>
                </c:pt>
                <c:pt idx="482">
                  <c:v>1.1705E-2</c:v>
                </c:pt>
                <c:pt idx="483">
                  <c:v>1.1795E-2</c:v>
                </c:pt>
                <c:pt idx="484">
                  <c:v>1.1967999999999999E-2</c:v>
                </c:pt>
                <c:pt idx="485">
                  <c:v>1.2038E-2</c:v>
                </c:pt>
                <c:pt idx="486">
                  <c:v>1.1878E-2</c:v>
                </c:pt>
                <c:pt idx="487">
                  <c:v>1.1828999999999999E-2</c:v>
                </c:pt>
                <c:pt idx="488">
                  <c:v>1.1826E-2</c:v>
                </c:pt>
                <c:pt idx="489">
                  <c:v>1.1813000000000001E-2</c:v>
                </c:pt>
                <c:pt idx="490">
                  <c:v>1.1823999999999999E-2</c:v>
                </c:pt>
                <c:pt idx="491">
                  <c:v>1.1958999999999999E-2</c:v>
                </c:pt>
                <c:pt idx="492">
                  <c:v>1.2064E-2</c:v>
                </c:pt>
                <c:pt idx="493">
                  <c:v>1.2095E-2</c:v>
                </c:pt>
                <c:pt idx="494">
                  <c:v>1.2147E-2</c:v>
                </c:pt>
                <c:pt idx="495">
                  <c:v>1.1986999999999999E-2</c:v>
                </c:pt>
                <c:pt idx="496">
                  <c:v>1.1828999999999999E-2</c:v>
                </c:pt>
                <c:pt idx="497">
                  <c:v>1.2042000000000001E-2</c:v>
                </c:pt>
                <c:pt idx="498">
                  <c:v>1.1998999999999999E-2</c:v>
                </c:pt>
                <c:pt idx="499">
                  <c:v>1.2106E-2</c:v>
                </c:pt>
                <c:pt idx="500">
                  <c:v>1.1866E-2</c:v>
                </c:pt>
                <c:pt idx="501">
                  <c:v>1.0893E-2</c:v>
                </c:pt>
                <c:pt idx="502">
                  <c:v>9.9830000000000006E-3</c:v>
                </c:pt>
                <c:pt idx="503">
                  <c:v>9.0609999999999996E-3</c:v>
                </c:pt>
                <c:pt idx="504">
                  <c:v>8.3960000000000007E-3</c:v>
                </c:pt>
                <c:pt idx="505">
                  <c:v>7.4900000000000001E-3</c:v>
                </c:pt>
                <c:pt idx="506">
                  <c:v>6.7970000000000001E-3</c:v>
                </c:pt>
                <c:pt idx="507">
                  <c:v>6.2960000000000004E-3</c:v>
                </c:pt>
                <c:pt idx="508">
                  <c:v>6.071E-3</c:v>
                </c:pt>
                <c:pt idx="509">
                  <c:v>5.9100000000000003E-3</c:v>
                </c:pt>
                <c:pt idx="510">
                  <c:v>5.2300000000000003E-3</c:v>
                </c:pt>
                <c:pt idx="511">
                  <c:v>5.339E-3</c:v>
                </c:pt>
                <c:pt idx="512">
                  <c:v>5.4310000000000001E-3</c:v>
                </c:pt>
                <c:pt idx="513">
                  <c:v>5.2560000000000003E-3</c:v>
                </c:pt>
                <c:pt idx="514">
                  <c:v>4.9459999999999999E-3</c:v>
                </c:pt>
                <c:pt idx="515">
                  <c:v>4.8630000000000001E-3</c:v>
                </c:pt>
                <c:pt idx="516">
                  <c:v>4.797E-3</c:v>
                </c:pt>
                <c:pt idx="517">
                  <c:v>4.6210000000000001E-3</c:v>
                </c:pt>
                <c:pt idx="518">
                  <c:v>4.5630000000000002E-3</c:v>
                </c:pt>
                <c:pt idx="519">
                  <c:v>4.3870000000000003E-3</c:v>
                </c:pt>
                <c:pt idx="520">
                  <c:v>4.346E-3</c:v>
                </c:pt>
                <c:pt idx="521">
                  <c:v>4.1660000000000004E-3</c:v>
                </c:pt>
                <c:pt idx="522">
                  <c:v>4.143E-3</c:v>
                </c:pt>
                <c:pt idx="523">
                  <c:v>4.1060000000000003E-3</c:v>
                </c:pt>
                <c:pt idx="524">
                  <c:v>4.0229999999999997E-3</c:v>
                </c:pt>
                <c:pt idx="525">
                  <c:v>4.2240000000000003E-3</c:v>
                </c:pt>
                <c:pt idx="526">
                  <c:v>3.8630000000000001E-3</c:v>
                </c:pt>
                <c:pt idx="527">
                  <c:v>3.8289999999999999E-3</c:v>
                </c:pt>
                <c:pt idx="528">
                  <c:v>3.7940000000000001E-3</c:v>
                </c:pt>
                <c:pt idx="529">
                  <c:v>3.725E-3</c:v>
                </c:pt>
                <c:pt idx="530">
                  <c:v>3.8300000000000001E-3</c:v>
                </c:pt>
                <c:pt idx="531">
                  <c:v>3.6900000000000001E-3</c:v>
                </c:pt>
                <c:pt idx="532">
                  <c:v>3.6900000000000001E-3</c:v>
                </c:pt>
                <c:pt idx="533">
                  <c:v>3.6410000000000001E-3</c:v>
                </c:pt>
                <c:pt idx="534">
                  <c:v>3.5639999999999999E-3</c:v>
                </c:pt>
                <c:pt idx="535">
                  <c:v>3.7130000000000002E-3</c:v>
                </c:pt>
                <c:pt idx="536">
                  <c:v>3.5690000000000001E-3</c:v>
                </c:pt>
                <c:pt idx="537">
                  <c:v>3.4880000000000002E-3</c:v>
                </c:pt>
                <c:pt idx="538">
                  <c:v>3.2959999999999999E-3</c:v>
                </c:pt>
                <c:pt idx="539">
                  <c:v>3.3519999999999999E-3</c:v>
                </c:pt>
                <c:pt idx="540">
                  <c:v>3.5620000000000001E-3</c:v>
                </c:pt>
                <c:pt idx="541">
                  <c:v>3.4480000000000001E-3</c:v>
                </c:pt>
                <c:pt idx="542">
                  <c:v>3.5279999999999999E-3</c:v>
                </c:pt>
                <c:pt idx="543">
                  <c:v>3.5899999999999999E-3</c:v>
                </c:pt>
                <c:pt idx="544">
                  <c:v>3.4710000000000001E-3</c:v>
                </c:pt>
                <c:pt idx="545">
                  <c:v>3.5890000000000002E-3</c:v>
                </c:pt>
                <c:pt idx="546">
                  <c:v>3.62E-3</c:v>
                </c:pt>
                <c:pt idx="547">
                  <c:v>3.5469999999999998E-3</c:v>
                </c:pt>
                <c:pt idx="548">
                  <c:v>3.591E-3</c:v>
                </c:pt>
                <c:pt idx="549">
                  <c:v>3.4659999999999999E-3</c:v>
                </c:pt>
                <c:pt idx="550">
                  <c:v>3.545E-3</c:v>
                </c:pt>
                <c:pt idx="551">
                  <c:v>3.5959999999999998E-3</c:v>
                </c:pt>
                <c:pt idx="552">
                  <c:v>3.6219999999999998E-3</c:v>
                </c:pt>
                <c:pt idx="553">
                  <c:v>3.3739999999999998E-3</c:v>
                </c:pt>
                <c:pt idx="554">
                  <c:v>3.4480000000000001E-3</c:v>
                </c:pt>
                <c:pt idx="555">
                  <c:v>3.519E-3</c:v>
                </c:pt>
                <c:pt idx="556">
                  <c:v>3.4220000000000001E-3</c:v>
                </c:pt>
                <c:pt idx="557">
                  <c:v>3.4039999999999999E-3</c:v>
                </c:pt>
                <c:pt idx="558">
                  <c:v>3.5699999999999998E-3</c:v>
                </c:pt>
                <c:pt idx="559">
                  <c:v>3.2889999999999998E-3</c:v>
                </c:pt>
                <c:pt idx="560">
                  <c:v>3.3639999999999998E-3</c:v>
                </c:pt>
                <c:pt idx="561">
                  <c:v>3.4529999999999999E-3</c:v>
                </c:pt>
                <c:pt idx="562">
                  <c:v>3.5140000000000002E-3</c:v>
                </c:pt>
                <c:pt idx="563">
                  <c:v>3.1719999999999999E-3</c:v>
                </c:pt>
                <c:pt idx="564">
                  <c:v>3.2290000000000001E-3</c:v>
                </c:pt>
                <c:pt idx="565">
                  <c:v>3.3040000000000001E-3</c:v>
                </c:pt>
                <c:pt idx="566">
                  <c:v>3.3349999999999999E-3</c:v>
                </c:pt>
                <c:pt idx="567">
                  <c:v>3.4169999999999999E-3</c:v>
                </c:pt>
                <c:pt idx="568">
                  <c:v>3.3449999999999999E-3</c:v>
                </c:pt>
                <c:pt idx="569">
                  <c:v>3.0720000000000001E-3</c:v>
                </c:pt>
                <c:pt idx="570">
                  <c:v>3.117E-3</c:v>
                </c:pt>
                <c:pt idx="571">
                  <c:v>3.124E-3</c:v>
                </c:pt>
                <c:pt idx="572">
                  <c:v>3.2160000000000001E-3</c:v>
                </c:pt>
                <c:pt idx="573">
                  <c:v>3.1099999999999999E-3</c:v>
                </c:pt>
                <c:pt idx="574">
                  <c:v>3.1250000000000002E-3</c:v>
                </c:pt>
                <c:pt idx="575">
                  <c:v>3.1640000000000001E-3</c:v>
                </c:pt>
                <c:pt idx="576">
                  <c:v>3.107E-3</c:v>
                </c:pt>
                <c:pt idx="577">
                  <c:v>2.996E-3</c:v>
                </c:pt>
                <c:pt idx="578">
                  <c:v>2.9629999999999999E-3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1-43F3-A86C-6F4FE176C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44591"/>
        <c:axId val="196825871"/>
      </c:scatterChart>
      <c:valAx>
        <c:axId val="19684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825871"/>
        <c:crosses val="autoZero"/>
        <c:crossBetween val="midCat"/>
      </c:valAx>
      <c:valAx>
        <c:axId val="1968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84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9</xdr:row>
      <xdr:rowOff>139065</xdr:rowOff>
    </xdr:from>
    <xdr:to>
      <xdr:col>22</xdr:col>
      <xdr:colOff>66675</xdr:colOff>
      <xdr:row>24</xdr:row>
      <xdr:rowOff>24765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FD3B58F-CFEA-E1CF-76AB-87C05FCE5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</xdr:colOff>
      <xdr:row>25</xdr:row>
      <xdr:rowOff>110490</xdr:rowOff>
    </xdr:from>
    <xdr:to>
      <xdr:col>21</xdr:col>
      <xdr:colOff>487680</xdr:colOff>
      <xdr:row>41</xdr:row>
      <xdr:rowOff>15240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4B29981-CFCA-4816-8DC2-D48AD517F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557</xdr:row>
      <xdr:rowOff>95250</xdr:rowOff>
    </xdr:from>
    <xdr:to>
      <xdr:col>18</xdr:col>
      <xdr:colOff>361950</xdr:colOff>
      <xdr:row>582</xdr:row>
      <xdr:rowOff>123825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3B25DFF-C38E-B1C1-BB00-5A27251B4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7B49-1C3F-4530-9262-AEE53F076318}">
  <dimension ref="A1:M584"/>
  <sheetViews>
    <sheetView tabSelected="1" topLeftCell="A2" workbookViewId="0">
      <selection activeCell="M29" sqref="M29"/>
    </sheetView>
  </sheetViews>
  <sheetFormatPr baseColWidth="10" defaultRowHeight="13.2" x14ac:dyDescent="0.25"/>
  <cols>
    <col min="1" max="1" width="6" customWidth="1"/>
    <col min="2" max="4" width="10" customWidth="1"/>
    <col min="5" max="5" width="15" customWidth="1"/>
    <col min="7" max="7" width="15.109375" customWidth="1"/>
    <col min="8" max="8" width="13.88671875" customWidth="1"/>
    <col min="9" max="9" width="21.77734375" customWidth="1"/>
  </cols>
  <sheetData>
    <row r="1" spans="1:13" ht="15" x14ac:dyDescent="0.25">
      <c r="A1" t="s">
        <v>581</v>
      </c>
    </row>
    <row r="2" spans="1:13" ht="15" x14ac:dyDescent="0.25">
      <c r="A2" t="s">
        <v>582</v>
      </c>
      <c r="B2" s="3">
        <v>6.1120999999999997E-3</v>
      </c>
      <c r="C2" t="s">
        <v>583</v>
      </c>
    </row>
    <row r="3" spans="1:13" x14ac:dyDescent="0.25">
      <c r="A3" t="s">
        <v>584</v>
      </c>
      <c r="B3">
        <v>18.678000000000001</v>
      </c>
    </row>
    <row r="4" spans="1:13" x14ac:dyDescent="0.25">
      <c r="A4" t="s">
        <v>585</v>
      </c>
      <c r="B4">
        <v>257.14</v>
      </c>
      <c r="C4" t="s">
        <v>586</v>
      </c>
    </row>
    <row r="5" spans="1:13" x14ac:dyDescent="0.25">
      <c r="A5" t="s">
        <v>587</v>
      </c>
      <c r="B5">
        <v>234.5</v>
      </c>
      <c r="C5" t="s">
        <v>586</v>
      </c>
    </row>
    <row r="6" spans="1:13" x14ac:dyDescent="0.25">
      <c r="A6" s="4" t="s">
        <v>588</v>
      </c>
      <c r="B6">
        <v>461.5</v>
      </c>
    </row>
    <row r="9" spans="1:13" ht="26.4" x14ac:dyDescent="0.25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589</v>
      </c>
      <c r="G9" s="6" t="s">
        <v>590</v>
      </c>
      <c r="H9" s="6" t="s">
        <v>591</v>
      </c>
      <c r="I9" s="6" t="s">
        <v>592</v>
      </c>
      <c r="J9" s="6" t="s">
        <v>593</v>
      </c>
      <c r="K9" s="7" t="s">
        <v>594</v>
      </c>
      <c r="L9" s="8" t="s">
        <v>595</v>
      </c>
      <c r="M9" s="8" t="s">
        <v>596</v>
      </c>
    </row>
    <row r="10" spans="1:13" ht="15" x14ac:dyDescent="0.25">
      <c r="A10" s="1" t="s">
        <v>5</v>
      </c>
      <c r="B10" s="1" t="s">
        <v>6</v>
      </c>
      <c r="C10" s="1">
        <v>19.399999999999999</v>
      </c>
      <c r="D10" s="1">
        <v>33.6</v>
      </c>
      <c r="E10" s="1">
        <v>2.99</v>
      </c>
      <c r="F10" s="5">
        <f t="shared" ref="F10:F73" si="0">A10+B10</f>
        <v>45470.469456018516</v>
      </c>
      <c r="G10" s="3">
        <f t="shared" ref="G10:G73" si="1">$B$2*EXP(($B$3-C10/$B$5)*(C10/($B$4+C10)))</f>
        <v>2.25284060998895E-2</v>
      </c>
      <c r="H10" s="3">
        <f t="shared" ref="H10:H73" si="2">D10*G10/100</f>
        <v>7.5695444495628731E-3</v>
      </c>
      <c r="I10">
        <f t="shared" ref="I10:I73" si="3">$B$4*LN(H10/$B$2)/($B$3-LN(H10/$B$2))</f>
        <v>2.9783463513596917</v>
      </c>
      <c r="J10">
        <f t="shared" ref="J10:J73" si="4">1000*H10*100000/($B$6*(C10+273.15))</f>
        <v>5.6065788678605548</v>
      </c>
      <c r="K10">
        <v>2.1069999999999999E-3</v>
      </c>
      <c r="L10">
        <f>AVERAGE(J10:J70)</f>
        <v>5.6398935707525544</v>
      </c>
      <c r="M10">
        <f>AVERAGE(K10:K70)</f>
        <v>1.8921639344262292E-3</v>
      </c>
    </row>
    <row r="11" spans="1:13" ht="15" x14ac:dyDescent="0.25">
      <c r="A11" s="1" t="s">
        <v>5</v>
      </c>
      <c r="B11" s="1" t="s">
        <v>7</v>
      </c>
      <c r="C11" s="1">
        <v>19.600000000000001</v>
      </c>
      <c r="D11" s="1">
        <v>31.9</v>
      </c>
      <c r="E11" s="1">
        <v>2.4300000000000002</v>
      </c>
      <c r="F11" s="5">
        <f t="shared" si="0"/>
        <v>45470.469687500001</v>
      </c>
      <c r="G11" s="3">
        <f t="shared" si="1"/>
        <v>2.2810310231803511E-2</v>
      </c>
      <c r="H11" s="3">
        <f t="shared" si="2"/>
        <v>7.2764889639453205E-3</v>
      </c>
      <c r="I11">
        <f t="shared" si="3"/>
        <v>2.4232861709126281</v>
      </c>
      <c r="J11">
        <f t="shared" si="4"/>
        <v>5.3858377484368596</v>
      </c>
      <c r="K11">
        <v>1.6149999999999999E-3</v>
      </c>
      <c r="L11">
        <f>AVERAGE(J106:J136)</f>
        <v>11.56368790462677</v>
      </c>
      <c r="M11">
        <f>AVERAGE(K106:K136)</f>
        <v>3.51883870967742E-3</v>
      </c>
    </row>
    <row r="12" spans="1:13" ht="15" x14ac:dyDescent="0.25">
      <c r="A12" s="1" t="s">
        <v>5</v>
      </c>
      <c r="B12" s="1" t="s">
        <v>8</v>
      </c>
      <c r="C12" s="1">
        <v>19.7</v>
      </c>
      <c r="D12" s="1">
        <v>32.6</v>
      </c>
      <c r="E12" s="1">
        <v>2.83</v>
      </c>
      <c r="F12" s="5">
        <f t="shared" si="0"/>
        <v>45470.469918981478</v>
      </c>
      <c r="G12" s="3">
        <f t="shared" si="1"/>
        <v>2.2952417120386134E-2</v>
      </c>
      <c r="H12" s="3">
        <f t="shared" si="2"/>
        <v>7.48248798124588E-3</v>
      </c>
      <c r="I12">
        <f t="shared" si="3"/>
        <v>2.8154877497067208</v>
      </c>
      <c r="J12">
        <f t="shared" si="4"/>
        <v>5.536420833213902</v>
      </c>
      <c r="K12">
        <v>1.74E-3</v>
      </c>
      <c r="L12">
        <f>AVERAGE(J152:J189)</f>
        <v>15.867086645553005</v>
      </c>
      <c r="M12">
        <f>AVERAGE(K152:K189)</f>
        <v>4.6026315789473686E-3</v>
      </c>
    </row>
    <row r="13" spans="1:13" ht="15" x14ac:dyDescent="0.25">
      <c r="A13" s="1" t="s">
        <v>5</v>
      </c>
      <c r="B13" s="1" t="s">
        <v>9</v>
      </c>
      <c r="C13" s="1">
        <v>19.8</v>
      </c>
      <c r="D13" s="1">
        <v>31</v>
      </c>
      <c r="E13" s="1">
        <v>2.21</v>
      </c>
      <c r="F13" s="5">
        <f t="shared" si="0"/>
        <v>45470.470150462963</v>
      </c>
      <c r="G13" s="3">
        <f t="shared" si="1"/>
        <v>2.3095298627354214E-2</v>
      </c>
      <c r="H13" s="3">
        <f t="shared" si="2"/>
        <v>7.1595425744798054E-3</v>
      </c>
      <c r="I13">
        <f t="shared" si="3"/>
        <v>2.196203029486171</v>
      </c>
      <c r="J13">
        <f t="shared" si="4"/>
        <v>5.2956596851431579</v>
      </c>
      <c r="K13">
        <v>1.65E-3</v>
      </c>
      <c r="L13">
        <f>AVERAGE(J202:J238)</f>
        <v>20.516147336059028</v>
      </c>
      <c r="M13">
        <f>AVERAGE(K202:K238)</f>
        <v>5.9118648648648657E-3</v>
      </c>
    </row>
    <row r="14" spans="1:13" ht="15" x14ac:dyDescent="0.25">
      <c r="A14" s="1" t="s">
        <v>5</v>
      </c>
      <c r="B14" s="1" t="s">
        <v>10</v>
      </c>
      <c r="C14" s="1">
        <v>19.899999999999999</v>
      </c>
      <c r="D14" s="1">
        <v>30.2</v>
      </c>
      <c r="E14" s="1">
        <v>1.93</v>
      </c>
      <c r="F14" s="5">
        <f t="shared" si="0"/>
        <v>45470.470381944448</v>
      </c>
      <c r="G14" s="3">
        <f t="shared" si="1"/>
        <v>2.3238958321456761E-2</v>
      </c>
      <c r="H14" s="3">
        <f t="shared" si="2"/>
        <v>7.0181654130799416E-3</v>
      </c>
      <c r="I14">
        <f t="shared" si="3"/>
        <v>1.9172208510483595</v>
      </c>
      <c r="J14">
        <f t="shared" si="4"/>
        <v>5.1893166135589643</v>
      </c>
      <c r="K14">
        <v>1.951E-3</v>
      </c>
      <c r="L14">
        <f>AVERAGE(J256:J287)</f>
        <v>24.701411807831068</v>
      </c>
      <c r="M14">
        <f>AVERAGE(K256:K287)</f>
        <v>6.7960937499999992E-3</v>
      </c>
    </row>
    <row r="15" spans="1:13" ht="15" x14ac:dyDescent="0.25">
      <c r="A15" s="1" t="s">
        <v>5</v>
      </c>
      <c r="B15" s="1" t="s">
        <v>11</v>
      </c>
      <c r="C15" s="1">
        <v>20.100000000000001</v>
      </c>
      <c r="D15" s="1">
        <v>29.1</v>
      </c>
      <c r="E15" s="1">
        <v>1.58</v>
      </c>
      <c r="F15" s="5">
        <f t="shared" si="0"/>
        <v>45470.470613425925</v>
      </c>
      <c r="G15" s="3">
        <f t="shared" si="1"/>
        <v>2.3528626611381141E-2</v>
      </c>
      <c r="H15" s="3">
        <f t="shared" si="2"/>
        <v>6.8468303439119128E-3</v>
      </c>
      <c r="I15">
        <f t="shared" si="3"/>
        <v>1.5723222502992835</v>
      </c>
      <c r="J15">
        <f t="shared" si="4"/>
        <v>5.0591766120239985</v>
      </c>
      <c r="K15">
        <v>1.755E-3</v>
      </c>
      <c r="L15">
        <f>AVERAGE(J293:J336)</f>
        <v>28.827204361548958</v>
      </c>
      <c r="M15">
        <f>AVERAGE(K293:K336)</f>
        <v>7.7455909090909077E-3</v>
      </c>
    </row>
    <row r="16" spans="1:13" ht="15" x14ac:dyDescent="0.25">
      <c r="A16" s="1" t="s">
        <v>5</v>
      </c>
      <c r="B16" s="1" t="s">
        <v>12</v>
      </c>
      <c r="C16" s="1">
        <v>20.3</v>
      </c>
      <c r="D16" s="1">
        <v>29.1</v>
      </c>
      <c r="E16" s="1">
        <v>1.75</v>
      </c>
      <c r="F16" s="5">
        <f t="shared" si="0"/>
        <v>45470.47084490741</v>
      </c>
      <c r="G16" s="3">
        <f t="shared" si="1"/>
        <v>2.382145080189018E-2</v>
      </c>
      <c r="H16" s="3">
        <f t="shared" si="2"/>
        <v>6.932042183350042E-3</v>
      </c>
      <c r="I16">
        <f t="shared" si="3"/>
        <v>1.7448049155746217</v>
      </c>
      <c r="J16">
        <f t="shared" si="4"/>
        <v>5.1186493282090852</v>
      </c>
      <c r="K16">
        <v>1.7290000000000001E-3</v>
      </c>
      <c r="L16">
        <f>AVERAGE(J364:J394)</f>
        <v>38.142443972154602</v>
      </c>
      <c r="M16">
        <f>AVERAGE(K364:K394)</f>
        <v>9.4711290322580643E-3</v>
      </c>
    </row>
    <row r="17" spans="1:13" ht="15" x14ac:dyDescent="0.25">
      <c r="A17" s="1" t="s">
        <v>5</v>
      </c>
      <c r="B17" s="1" t="s">
        <v>13</v>
      </c>
      <c r="C17" s="1">
        <v>20.399999999999999</v>
      </c>
      <c r="D17" s="1">
        <v>28.5</v>
      </c>
      <c r="E17" s="1">
        <v>1.55</v>
      </c>
      <c r="F17" s="5">
        <f t="shared" si="0"/>
        <v>45470.471076388887</v>
      </c>
      <c r="G17" s="3">
        <f t="shared" si="1"/>
        <v>2.3969055421058028E-2</v>
      </c>
      <c r="H17" s="3">
        <f t="shared" si="2"/>
        <v>6.8311807950015378E-3</v>
      </c>
      <c r="I17">
        <f t="shared" si="3"/>
        <v>1.5404370062460051</v>
      </c>
      <c r="J17">
        <f t="shared" si="4"/>
        <v>5.0424545164160834</v>
      </c>
      <c r="K17">
        <v>1.6299999999999999E-3</v>
      </c>
      <c r="L17">
        <f>AVERAGE(J406:J439)</f>
        <v>43.311875764121467</v>
      </c>
      <c r="M17">
        <f>AVERAGE(K406:K439)</f>
        <v>1.0433117647058825E-2</v>
      </c>
    </row>
    <row r="18" spans="1:13" ht="15" x14ac:dyDescent="0.25">
      <c r="A18" s="1" t="s">
        <v>5</v>
      </c>
      <c r="B18" s="1" t="s">
        <v>14</v>
      </c>
      <c r="C18" s="1">
        <v>20.6</v>
      </c>
      <c r="D18" s="1">
        <v>28.5</v>
      </c>
      <c r="E18" s="1">
        <v>1.72</v>
      </c>
      <c r="F18" s="5">
        <f t="shared" si="0"/>
        <v>45470.471307870372</v>
      </c>
      <c r="G18" s="3">
        <f t="shared" si="1"/>
        <v>2.4266667945182438E-2</v>
      </c>
      <c r="H18" s="3">
        <f t="shared" si="2"/>
        <v>6.916000364376995E-3</v>
      </c>
      <c r="I18">
        <f t="shared" si="3"/>
        <v>1.7124787427953929</v>
      </c>
      <c r="J18">
        <f t="shared" si="4"/>
        <v>5.1015885217045209</v>
      </c>
      <c r="K18">
        <v>1.503E-3</v>
      </c>
      <c r="L18">
        <f>AVERAGE(J446:J471)</f>
        <v>48.104087172210491</v>
      </c>
      <c r="M18">
        <f>AVERAGE(K446:K471)</f>
        <v>1.1197384615384616E-2</v>
      </c>
    </row>
    <row r="19" spans="1:13" ht="15" x14ac:dyDescent="0.25">
      <c r="A19" s="1" t="s">
        <v>5</v>
      </c>
      <c r="B19" s="1" t="s">
        <v>15</v>
      </c>
      <c r="C19" s="1">
        <v>20.8</v>
      </c>
      <c r="D19" s="1">
        <v>28.3</v>
      </c>
      <c r="E19" s="1">
        <v>1.8</v>
      </c>
      <c r="F19" s="5">
        <f t="shared" si="0"/>
        <v>45470.471539351849</v>
      </c>
      <c r="G19" s="3">
        <f t="shared" si="1"/>
        <v>2.4567509322430906E-2</v>
      </c>
      <c r="H19" s="3">
        <f t="shared" si="2"/>
        <v>6.9526051382479467E-3</v>
      </c>
      <c r="I19">
        <f t="shared" si="3"/>
        <v>1.7861442459275554</v>
      </c>
      <c r="J19">
        <f t="shared" si="4"/>
        <v>5.1251006074639189</v>
      </c>
      <c r="K19">
        <v>1.5100000000000001E-3</v>
      </c>
      <c r="L19">
        <f>AVERAGE(J479:J501)</f>
        <v>51.446492035124564</v>
      </c>
      <c r="M19">
        <f>AVERAGE(K479:K501)</f>
        <v>1.194108695652174E-2</v>
      </c>
    </row>
    <row r="20" spans="1:13" ht="15" x14ac:dyDescent="0.25">
      <c r="A20" s="1" t="s">
        <v>5</v>
      </c>
      <c r="B20" s="1" t="s">
        <v>16</v>
      </c>
      <c r="C20" s="1">
        <v>20.9</v>
      </c>
      <c r="D20" s="1">
        <v>28.3</v>
      </c>
      <c r="E20" s="1">
        <v>1.88</v>
      </c>
      <c r="F20" s="5">
        <f t="shared" si="0"/>
        <v>45470.471770833334</v>
      </c>
      <c r="G20" s="3">
        <f t="shared" si="1"/>
        <v>2.4719150057955341E-2</v>
      </c>
      <c r="H20" s="3">
        <f t="shared" si="2"/>
        <v>6.9955194664013624E-3</v>
      </c>
      <c r="I20">
        <f t="shared" si="3"/>
        <v>1.8720681018982308</v>
      </c>
      <c r="J20">
        <f t="shared" si="4"/>
        <v>5.1549811355343333</v>
      </c>
      <c r="K20">
        <v>1.7849999999999999E-3</v>
      </c>
    </row>
    <row r="21" spans="1:13" ht="15" x14ac:dyDescent="0.25">
      <c r="A21" s="1" t="s">
        <v>5</v>
      </c>
      <c r="B21" s="1" t="s">
        <v>17</v>
      </c>
      <c r="C21" s="1">
        <v>21.1</v>
      </c>
      <c r="D21" s="1">
        <v>28.3</v>
      </c>
      <c r="E21" s="1">
        <v>2.0499999999999998</v>
      </c>
      <c r="F21" s="5">
        <f t="shared" si="0"/>
        <v>45470.472002314818</v>
      </c>
      <c r="G21" s="3">
        <f t="shared" si="1"/>
        <v>2.5024890193777453E-2</v>
      </c>
      <c r="H21" s="3">
        <f t="shared" si="2"/>
        <v>7.0820439248390201E-3</v>
      </c>
      <c r="I21">
        <f t="shared" si="3"/>
        <v>2.0438885521556713</v>
      </c>
      <c r="J21">
        <f t="shared" si="4"/>
        <v>5.2151936491964683</v>
      </c>
      <c r="K21">
        <v>1.5319999999999999E-3</v>
      </c>
    </row>
    <row r="22" spans="1:13" ht="15" x14ac:dyDescent="0.25">
      <c r="A22" s="1" t="s">
        <v>5</v>
      </c>
      <c r="B22" s="1" t="s">
        <v>18</v>
      </c>
      <c r="C22" s="1">
        <v>21.3</v>
      </c>
      <c r="D22" s="1">
        <v>27.9</v>
      </c>
      <c r="E22" s="1">
        <v>2.0299999999999998</v>
      </c>
      <c r="F22" s="5">
        <f t="shared" si="0"/>
        <v>45470.472233796296</v>
      </c>
      <c r="G22" s="3">
        <f t="shared" si="1"/>
        <v>2.5333933467308799E-2</v>
      </c>
      <c r="H22" s="3">
        <f t="shared" si="2"/>
        <v>7.0681674373791548E-3</v>
      </c>
      <c r="I22">
        <f t="shared" si="3"/>
        <v>2.0164591221023214</v>
      </c>
      <c r="J22">
        <f t="shared" si="4"/>
        <v>5.2014396618255025</v>
      </c>
      <c r="K22">
        <v>1.7049999999999999E-3</v>
      </c>
    </row>
    <row r="23" spans="1:13" ht="15" x14ac:dyDescent="0.25">
      <c r="A23" s="1" t="s">
        <v>5</v>
      </c>
      <c r="B23" s="1" t="s">
        <v>19</v>
      </c>
      <c r="C23" s="1">
        <v>21.4</v>
      </c>
      <c r="D23" s="1">
        <v>28.5</v>
      </c>
      <c r="E23" s="1">
        <v>2.41</v>
      </c>
      <c r="F23" s="5">
        <f t="shared" si="0"/>
        <v>45470.47246527778</v>
      </c>
      <c r="G23" s="3">
        <f t="shared" si="1"/>
        <v>2.548970317554073E-2</v>
      </c>
      <c r="H23" s="3">
        <f t="shared" si="2"/>
        <v>7.2645654050291089E-3</v>
      </c>
      <c r="I23">
        <f t="shared" si="3"/>
        <v>2.400282977886607</v>
      </c>
      <c r="J23">
        <f t="shared" si="4"/>
        <v>5.3441532771525688</v>
      </c>
      <c r="K23">
        <v>1.879E-3</v>
      </c>
    </row>
    <row r="24" spans="1:13" ht="15" x14ac:dyDescent="0.25">
      <c r="A24" s="1" t="s">
        <v>5</v>
      </c>
      <c r="B24" s="1" t="s">
        <v>20</v>
      </c>
      <c r="C24" s="1">
        <v>21.6</v>
      </c>
      <c r="D24" s="1">
        <v>29.7</v>
      </c>
      <c r="E24" s="1">
        <v>3.16</v>
      </c>
      <c r="F24" s="5">
        <f t="shared" si="0"/>
        <v>45470.472696759258</v>
      </c>
      <c r="G24" s="3">
        <f t="shared" si="1"/>
        <v>2.5803757643050294E-2</v>
      </c>
      <c r="H24" s="3">
        <f t="shared" si="2"/>
        <v>7.6637160199859366E-3</v>
      </c>
      <c r="I24">
        <f t="shared" si="3"/>
        <v>3.1526455314798754</v>
      </c>
      <c r="J24">
        <f t="shared" si="4"/>
        <v>5.6339616234526284</v>
      </c>
      <c r="K24">
        <v>2E-3</v>
      </c>
    </row>
    <row r="25" spans="1:13" ht="15" x14ac:dyDescent="0.25">
      <c r="A25" s="1" t="s">
        <v>5</v>
      </c>
      <c r="B25" s="1" t="s">
        <v>21</v>
      </c>
      <c r="C25" s="1">
        <v>21.8</v>
      </c>
      <c r="D25" s="1">
        <v>30.2</v>
      </c>
      <c r="E25" s="1">
        <v>3.57</v>
      </c>
      <c r="F25" s="5">
        <f t="shared" si="0"/>
        <v>45470.472928240742</v>
      </c>
      <c r="G25" s="3">
        <f t="shared" si="1"/>
        <v>2.6121190881418208E-2</v>
      </c>
      <c r="H25" s="3">
        <f t="shared" si="2"/>
        <v>7.8885996461882987E-3</v>
      </c>
      <c r="I25">
        <f t="shared" si="3"/>
        <v>3.56127349118821</v>
      </c>
      <c r="J25">
        <f t="shared" si="4"/>
        <v>5.7953518729514908</v>
      </c>
      <c r="K25">
        <v>1.915E-3</v>
      </c>
    </row>
    <row r="26" spans="1:13" ht="15" x14ac:dyDescent="0.25">
      <c r="A26" s="1" t="s">
        <v>5</v>
      </c>
      <c r="B26" s="1" t="s">
        <v>22</v>
      </c>
      <c r="C26" s="1">
        <v>21.9</v>
      </c>
      <c r="D26" s="1">
        <v>32.6</v>
      </c>
      <c r="E26" s="1">
        <v>4.75</v>
      </c>
      <c r="F26" s="5">
        <f t="shared" si="0"/>
        <v>45470.47315972222</v>
      </c>
      <c r="G26" s="3">
        <f t="shared" si="1"/>
        <v>2.6281184104415795E-2</v>
      </c>
      <c r="H26" s="3">
        <f t="shared" si="2"/>
        <v>8.5676660180395488E-3</v>
      </c>
      <c r="I26">
        <f t="shared" si="3"/>
        <v>4.7350757057728261</v>
      </c>
      <c r="J26">
        <f t="shared" si="4"/>
        <v>6.2920940318722627</v>
      </c>
      <c r="K26">
        <v>2.1180000000000001E-3</v>
      </c>
    </row>
    <row r="27" spans="1:13" ht="15" x14ac:dyDescent="0.25">
      <c r="A27" s="1" t="s">
        <v>5</v>
      </c>
      <c r="B27" s="1" t="s">
        <v>23</v>
      </c>
      <c r="C27" s="1">
        <v>21.9</v>
      </c>
      <c r="D27" s="1">
        <v>33.799999999999997</v>
      </c>
      <c r="E27" s="1">
        <v>5.27</v>
      </c>
      <c r="F27" s="5">
        <f t="shared" si="0"/>
        <v>45470.473391203705</v>
      </c>
      <c r="G27" s="3">
        <f t="shared" si="1"/>
        <v>2.6281184104415795E-2</v>
      </c>
      <c r="H27" s="3">
        <f t="shared" si="2"/>
        <v>8.8830402272925373E-3</v>
      </c>
      <c r="I27">
        <f t="shared" si="3"/>
        <v>5.2522484234515261</v>
      </c>
      <c r="J27">
        <f t="shared" si="4"/>
        <v>6.5237048551313634</v>
      </c>
      <c r="K27">
        <v>2.183E-3</v>
      </c>
    </row>
    <row r="28" spans="1:13" ht="15" x14ac:dyDescent="0.25">
      <c r="A28" s="1" t="s">
        <v>5</v>
      </c>
      <c r="B28" s="1" t="s">
        <v>24</v>
      </c>
      <c r="C28" s="1">
        <v>22.1</v>
      </c>
      <c r="D28" s="1">
        <v>32.6</v>
      </c>
      <c r="E28" s="1">
        <v>4.93</v>
      </c>
      <c r="F28" s="5">
        <f t="shared" si="0"/>
        <v>45470.473622685182</v>
      </c>
      <c r="G28" s="3">
        <f t="shared" si="1"/>
        <v>2.66037430074367E-2</v>
      </c>
      <c r="H28" s="3">
        <f t="shared" si="2"/>
        <v>8.672820220424364E-3</v>
      </c>
      <c r="I28">
        <f t="shared" si="3"/>
        <v>4.9093726543778509</v>
      </c>
      <c r="J28">
        <f t="shared" si="4"/>
        <v>6.3650047532477405</v>
      </c>
      <c r="K28">
        <v>2.1389999999999998E-3</v>
      </c>
    </row>
    <row r="29" spans="1:13" ht="15" x14ac:dyDescent="0.25">
      <c r="A29" s="1" t="s">
        <v>5</v>
      </c>
      <c r="B29" s="1" t="s">
        <v>25</v>
      </c>
      <c r="C29" s="1">
        <v>22.4</v>
      </c>
      <c r="D29" s="1">
        <v>31.2</v>
      </c>
      <c r="E29" s="1">
        <v>4.5599999999999996</v>
      </c>
      <c r="F29" s="5">
        <f t="shared" si="0"/>
        <v>45470.473854166667</v>
      </c>
      <c r="G29" s="3">
        <f t="shared" si="1"/>
        <v>2.7094070665862238E-2</v>
      </c>
      <c r="H29" s="3">
        <f t="shared" si="2"/>
        <v>8.4533500477490184E-3</v>
      </c>
      <c r="I29">
        <f t="shared" si="3"/>
        <v>4.5434171071108622</v>
      </c>
      <c r="J29">
        <f t="shared" si="4"/>
        <v>6.1976376913007138</v>
      </c>
      <c r="K29">
        <v>2.1940000000000002E-3</v>
      </c>
    </row>
    <row r="30" spans="1:13" ht="15" x14ac:dyDescent="0.25">
      <c r="A30" s="1" t="s">
        <v>5</v>
      </c>
      <c r="B30" s="1" t="s">
        <v>26</v>
      </c>
      <c r="C30" s="1">
        <v>22.8</v>
      </c>
      <c r="D30" s="1">
        <v>29.3</v>
      </c>
      <c r="E30" s="1">
        <v>4.01</v>
      </c>
      <c r="F30" s="5">
        <f t="shared" si="0"/>
        <v>45470.474085648151</v>
      </c>
      <c r="G30" s="3">
        <f t="shared" si="1"/>
        <v>2.7760118550459713E-2</v>
      </c>
      <c r="H30" s="3">
        <f t="shared" si="2"/>
        <v>8.1337147352846962E-3</v>
      </c>
      <c r="I30">
        <f t="shared" si="3"/>
        <v>3.9950009379456857</v>
      </c>
      <c r="J30">
        <f t="shared" si="4"/>
        <v>5.9552347703639414</v>
      </c>
      <c r="K30">
        <v>1.8879999999999999E-3</v>
      </c>
    </row>
    <row r="31" spans="1:13" ht="15" x14ac:dyDescent="0.25">
      <c r="A31" s="1" t="s">
        <v>5</v>
      </c>
      <c r="B31" s="1" t="s">
        <v>27</v>
      </c>
      <c r="C31" s="1">
        <v>23.1</v>
      </c>
      <c r="D31" s="1">
        <v>27.9</v>
      </c>
      <c r="E31" s="1">
        <v>3.57</v>
      </c>
      <c r="F31" s="5">
        <f t="shared" si="0"/>
        <v>45470.474317129629</v>
      </c>
      <c r="G31" s="3">
        <f t="shared" si="1"/>
        <v>2.8269001104163159E-2</v>
      </c>
      <c r="H31" s="3">
        <f t="shared" si="2"/>
        <v>7.8870513080615216E-3</v>
      </c>
      <c r="I31">
        <f t="shared" si="3"/>
        <v>3.558495760200052</v>
      </c>
      <c r="J31">
        <f t="shared" si="4"/>
        <v>5.7687882994356299</v>
      </c>
      <c r="K31">
        <v>1.725E-3</v>
      </c>
    </row>
    <row r="32" spans="1:13" ht="15" x14ac:dyDescent="0.25">
      <c r="A32" s="1" t="s">
        <v>5</v>
      </c>
      <c r="B32" s="1" t="s">
        <v>28</v>
      </c>
      <c r="C32" s="1">
        <v>23.6</v>
      </c>
      <c r="D32" s="1">
        <v>27.1</v>
      </c>
      <c r="E32" s="1">
        <v>3.59</v>
      </c>
      <c r="F32" s="5">
        <f t="shared" si="0"/>
        <v>45470.474548611113</v>
      </c>
      <c r="G32" s="3">
        <f t="shared" si="1"/>
        <v>2.9135262342591541E-2</v>
      </c>
      <c r="H32" s="3">
        <f t="shared" si="2"/>
        <v>7.8956560948423085E-3</v>
      </c>
      <c r="I32">
        <f t="shared" si="3"/>
        <v>3.5739266650103714</v>
      </c>
      <c r="J32">
        <f t="shared" si="4"/>
        <v>5.765351506500858</v>
      </c>
      <c r="K32">
        <v>2.036E-3</v>
      </c>
    </row>
    <row r="33" spans="1:11" ht="15" x14ac:dyDescent="0.25">
      <c r="A33" s="1" t="s">
        <v>5</v>
      </c>
      <c r="B33" s="1" t="s">
        <v>29</v>
      </c>
      <c r="C33" s="1">
        <v>24.1</v>
      </c>
      <c r="D33" s="1">
        <v>25.7</v>
      </c>
      <c r="E33" s="1">
        <v>3.26</v>
      </c>
      <c r="F33" s="5">
        <f t="shared" si="0"/>
        <v>45470.474780092591</v>
      </c>
      <c r="G33" s="3">
        <f t="shared" si="1"/>
        <v>3.0024618717366527E-2</v>
      </c>
      <c r="H33" s="3">
        <f t="shared" si="2"/>
        <v>7.7163270103631975E-3</v>
      </c>
      <c r="I33">
        <f t="shared" si="3"/>
        <v>3.2491917919271733</v>
      </c>
      <c r="J33">
        <f t="shared" si="4"/>
        <v>5.6249291385283824</v>
      </c>
      <c r="K33">
        <v>1.8550000000000001E-3</v>
      </c>
    </row>
    <row r="34" spans="1:11" ht="15" x14ac:dyDescent="0.25">
      <c r="A34" s="1" t="s">
        <v>5</v>
      </c>
      <c r="B34" s="1" t="s">
        <v>30</v>
      </c>
      <c r="C34" s="1">
        <v>24.7</v>
      </c>
      <c r="D34" s="1">
        <v>24.6</v>
      </c>
      <c r="E34" s="1">
        <v>3.15</v>
      </c>
      <c r="F34" s="5">
        <f t="shared" si="0"/>
        <v>45470.475011574075</v>
      </c>
      <c r="G34" s="3">
        <f t="shared" si="1"/>
        <v>3.1123059701063046E-2</v>
      </c>
      <c r="H34" s="3">
        <f t="shared" si="2"/>
        <v>7.6562726864615096E-3</v>
      </c>
      <c r="I34">
        <f t="shared" si="3"/>
        <v>3.1389386083225546</v>
      </c>
      <c r="J34">
        <f t="shared" si="4"/>
        <v>5.5699087857791305</v>
      </c>
      <c r="K34">
        <v>1.74E-3</v>
      </c>
    </row>
    <row r="35" spans="1:11" ht="15" x14ac:dyDescent="0.25">
      <c r="A35" s="1" t="s">
        <v>5</v>
      </c>
      <c r="B35" s="1" t="s">
        <v>31</v>
      </c>
      <c r="C35" s="1">
        <v>25.4</v>
      </c>
      <c r="D35" s="1">
        <v>23.6</v>
      </c>
      <c r="E35" s="1">
        <v>3.15</v>
      </c>
      <c r="F35" s="5">
        <f t="shared" si="0"/>
        <v>45470.475243055553</v>
      </c>
      <c r="G35" s="3">
        <f t="shared" si="1"/>
        <v>3.2448762380771878E-2</v>
      </c>
      <c r="H35" s="3">
        <f t="shared" si="2"/>
        <v>7.6579079218621641E-3</v>
      </c>
      <c r="I35">
        <f t="shared" si="3"/>
        <v>3.1419509177627027</v>
      </c>
      <c r="J35">
        <f t="shared" si="4"/>
        <v>5.5580360488204112</v>
      </c>
      <c r="K35">
        <v>1.438E-3</v>
      </c>
    </row>
    <row r="36" spans="1:11" ht="15" x14ac:dyDescent="0.25">
      <c r="A36" s="1" t="s">
        <v>5</v>
      </c>
      <c r="B36" s="1" t="s">
        <v>32</v>
      </c>
      <c r="C36" s="1">
        <v>26.1</v>
      </c>
      <c r="D36" s="1">
        <v>23.6</v>
      </c>
      <c r="E36" s="1">
        <v>3.74</v>
      </c>
      <c r="F36" s="5">
        <f t="shared" si="0"/>
        <v>45470.475474537037</v>
      </c>
      <c r="G36" s="3">
        <f t="shared" si="1"/>
        <v>3.3823460424249642E-2</v>
      </c>
      <c r="H36" s="3">
        <f t="shared" si="2"/>
        <v>7.982336660122916E-3</v>
      </c>
      <c r="I36">
        <f t="shared" si="3"/>
        <v>3.7285397952395849</v>
      </c>
      <c r="J36">
        <f t="shared" si="4"/>
        <v>5.7799512577926704</v>
      </c>
      <c r="K36">
        <v>1.5330000000000001E-3</v>
      </c>
    </row>
    <row r="37" spans="1:11" ht="15" x14ac:dyDescent="0.25">
      <c r="A37" s="1" t="s">
        <v>5</v>
      </c>
      <c r="B37" s="1" t="s">
        <v>33</v>
      </c>
      <c r="C37" s="1">
        <v>26.7</v>
      </c>
      <c r="D37" s="1">
        <v>21.5</v>
      </c>
      <c r="E37" s="1">
        <v>2.92</v>
      </c>
      <c r="F37" s="5">
        <f t="shared" si="0"/>
        <v>45470.475706018522</v>
      </c>
      <c r="G37" s="3">
        <f t="shared" si="1"/>
        <v>3.5041915284806185E-2</v>
      </c>
      <c r="H37" s="3">
        <f t="shared" si="2"/>
        <v>7.5340117862333304E-3</v>
      </c>
      <c r="I37">
        <f t="shared" si="3"/>
        <v>2.9120773170430083</v>
      </c>
      <c r="J37">
        <f t="shared" si="4"/>
        <v>5.4444064113915607</v>
      </c>
      <c r="K37">
        <v>1.8420000000000001E-3</v>
      </c>
    </row>
    <row r="38" spans="1:11" ht="15" x14ac:dyDescent="0.25">
      <c r="A38" s="1" t="s">
        <v>5</v>
      </c>
      <c r="B38" s="1" t="s">
        <v>34</v>
      </c>
      <c r="C38" s="1">
        <v>27.3</v>
      </c>
      <c r="D38" s="1">
        <v>20.8</v>
      </c>
      <c r="E38" s="1">
        <v>2.95</v>
      </c>
      <c r="F38" s="5">
        <f t="shared" si="0"/>
        <v>45470.475937499999</v>
      </c>
      <c r="G38" s="3">
        <f t="shared" si="1"/>
        <v>3.6298451883152769E-2</v>
      </c>
      <c r="H38" s="3">
        <f t="shared" si="2"/>
        <v>7.5500779916957764E-3</v>
      </c>
      <c r="I38">
        <f t="shared" si="3"/>
        <v>2.9420755108681114</v>
      </c>
      <c r="J38">
        <f t="shared" si="4"/>
        <v>5.4451208645289757</v>
      </c>
      <c r="K38">
        <v>1.6659999999999999E-3</v>
      </c>
    </row>
    <row r="39" spans="1:11" ht="15" x14ac:dyDescent="0.25">
      <c r="A39" s="1" t="s">
        <v>5</v>
      </c>
      <c r="B39" s="1" t="s">
        <v>35</v>
      </c>
      <c r="C39" s="1">
        <v>27.7</v>
      </c>
      <c r="D39" s="1">
        <v>19.2</v>
      </c>
      <c r="E39" s="1">
        <v>2.15</v>
      </c>
      <c r="F39" s="5">
        <f t="shared" si="0"/>
        <v>45470.476168981484</v>
      </c>
      <c r="G39" s="3">
        <f t="shared" si="1"/>
        <v>3.7157789518084461E-2</v>
      </c>
      <c r="H39" s="3">
        <f t="shared" si="2"/>
        <v>7.1342955874722155E-3</v>
      </c>
      <c r="I39">
        <f t="shared" si="3"/>
        <v>2.1467452519457391</v>
      </c>
      <c r="J39">
        <f t="shared" si="4"/>
        <v>5.1384173786206082</v>
      </c>
      <c r="K39">
        <v>1.9070000000000001E-3</v>
      </c>
    </row>
    <row r="40" spans="1:11" ht="15" x14ac:dyDescent="0.25">
      <c r="A40" s="1" t="s">
        <v>5</v>
      </c>
      <c r="B40" s="1" t="s">
        <v>36</v>
      </c>
      <c r="C40" s="1">
        <v>28.1</v>
      </c>
      <c r="D40" s="1">
        <v>18.8</v>
      </c>
      <c r="E40" s="1">
        <v>2.1800000000000002</v>
      </c>
      <c r="F40" s="5">
        <f t="shared" si="0"/>
        <v>45470.476400462961</v>
      </c>
      <c r="G40" s="3">
        <f t="shared" si="1"/>
        <v>3.8034793242933108E-2</v>
      </c>
      <c r="H40" s="3">
        <f t="shared" si="2"/>
        <v>7.1505411296714253E-3</v>
      </c>
      <c r="I40">
        <f t="shared" si="3"/>
        <v>2.178587451943955</v>
      </c>
      <c r="J40">
        <f t="shared" si="4"/>
        <v>5.143279764916981</v>
      </c>
      <c r="K40">
        <v>1.9369999999999999E-3</v>
      </c>
    </row>
    <row r="41" spans="1:11" ht="15" x14ac:dyDescent="0.25">
      <c r="A41" s="1" t="s">
        <v>5</v>
      </c>
      <c r="B41" s="1" t="s">
        <v>37</v>
      </c>
      <c r="C41" s="1">
        <v>28.3</v>
      </c>
      <c r="D41" s="1">
        <v>17.899999999999999</v>
      </c>
      <c r="E41" s="1">
        <v>1.66</v>
      </c>
      <c r="F41" s="5">
        <f t="shared" si="0"/>
        <v>45470.476631944446</v>
      </c>
      <c r="G41" s="3">
        <f t="shared" si="1"/>
        <v>3.8480014581919894E-2</v>
      </c>
      <c r="H41" s="3">
        <f t="shared" si="2"/>
        <v>6.8879226101636604E-3</v>
      </c>
      <c r="I41">
        <f t="shared" si="3"/>
        <v>1.6557373657287215</v>
      </c>
      <c r="J41">
        <f t="shared" si="4"/>
        <v>4.9510950666316571</v>
      </c>
      <c r="K41">
        <v>1.6559999999999999E-3</v>
      </c>
    </row>
    <row r="42" spans="1:11" ht="15" x14ac:dyDescent="0.25">
      <c r="A42" s="1" t="s">
        <v>5</v>
      </c>
      <c r="B42" s="1" t="s">
        <v>38</v>
      </c>
      <c r="C42" s="1">
        <v>28.6</v>
      </c>
      <c r="D42" s="1">
        <v>17.600000000000001</v>
      </c>
      <c r="E42" s="1">
        <v>1.67</v>
      </c>
      <c r="F42" s="5">
        <f t="shared" si="0"/>
        <v>45470.476863425924</v>
      </c>
      <c r="G42" s="3">
        <f t="shared" si="1"/>
        <v>3.9156353622294603E-2</v>
      </c>
      <c r="H42" s="3">
        <f t="shared" si="2"/>
        <v>6.8915182375238505E-3</v>
      </c>
      <c r="I42">
        <f t="shared" si="3"/>
        <v>1.663015155848069</v>
      </c>
      <c r="J42">
        <f t="shared" si="4"/>
        <v>4.9487546822113702</v>
      </c>
      <c r="K42">
        <v>1.931E-3</v>
      </c>
    </row>
    <row r="43" spans="1:11" ht="15" x14ac:dyDescent="0.25">
      <c r="A43" s="1" t="s">
        <v>5</v>
      </c>
      <c r="B43" s="1" t="s">
        <v>39</v>
      </c>
      <c r="C43" s="1">
        <v>28.8</v>
      </c>
      <c r="D43" s="1">
        <v>16.7</v>
      </c>
      <c r="E43" s="1">
        <v>1.1000000000000001</v>
      </c>
      <c r="F43" s="5">
        <f t="shared" si="0"/>
        <v>45470.477094907408</v>
      </c>
      <c r="G43" s="3">
        <f t="shared" si="1"/>
        <v>3.9612974018586072E-2</v>
      </c>
      <c r="H43" s="3">
        <f t="shared" si="2"/>
        <v>6.615366661103874E-3</v>
      </c>
      <c r="I43">
        <f t="shared" si="3"/>
        <v>1.0939454077610264</v>
      </c>
      <c r="J43">
        <f t="shared" si="4"/>
        <v>4.7473055052622914</v>
      </c>
      <c r="K43">
        <v>1.4809999999999999E-3</v>
      </c>
    </row>
    <row r="44" spans="1:11" ht="15" x14ac:dyDescent="0.25">
      <c r="A44" s="1" t="s">
        <v>5</v>
      </c>
      <c r="B44" s="1" t="s">
        <v>40</v>
      </c>
      <c r="C44" s="1">
        <v>29</v>
      </c>
      <c r="D44" s="1">
        <v>17</v>
      </c>
      <c r="E44" s="1">
        <v>1.51</v>
      </c>
      <c r="F44" s="5">
        <f t="shared" si="0"/>
        <v>45470.477326388886</v>
      </c>
      <c r="G44" s="3">
        <f t="shared" si="1"/>
        <v>4.0074221991773663E-2</v>
      </c>
      <c r="H44" s="3">
        <f t="shared" si="2"/>
        <v>6.8126177386015228E-3</v>
      </c>
      <c r="I44">
        <f t="shared" si="3"/>
        <v>1.5025310055070062</v>
      </c>
      <c r="J44">
        <f t="shared" si="4"/>
        <v>4.8856203625562653</v>
      </c>
      <c r="K44">
        <v>2.0590000000000001E-3</v>
      </c>
    </row>
    <row r="45" spans="1:11" ht="15" x14ac:dyDescent="0.25">
      <c r="A45" s="1" t="s">
        <v>5</v>
      </c>
      <c r="B45" s="1" t="s">
        <v>41</v>
      </c>
      <c r="C45" s="1">
        <v>29.1</v>
      </c>
      <c r="D45" s="1">
        <v>16.7</v>
      </c>
      <c r="E45" s="1">
        <v>1.34</v>
      </c>
      <c r="F45" s="5">
        <f t="shared" si="0"/>
        <v>45470.47755787037</v>
      </c>
      <c r="G45" s="3">
        <f t="shared" si="1"/>
        <v>4.0306593564764868E-2</v>
      </c>
      <c r="H45" s="3">
        <f t="shared" si="2"/>
        <v>6.7312011253157326E-3</v>
      </c>
      <c r="I45">
        <f t="shared" si="3"/>
        <v>1.3351809341125918</v>
      </c>
      <c r="J45">
        <f t="shared" si="4"/>
        <v>4.8256359179148323</v>
      </c>
      <c r="K45">
        <v>1.9059999999999999E-3</v>
      </c>
    </row>
    <row r="46" spans="1:11" ht="15" x14ac:dyDescent="0.25">
      <c r="A46" s="1" t="s">
        <v>5</v>
      </c>
      <c r="B46" s="1" t="s">
        <v>42</v>
      </c>
      <c r="C46" s="1">
        <v>29.3</v>
      </c>
      <c r="D46" s="1">
        <v>17.600000000000001</v>
      </c>
      <c r="E46" s="1">
        <v>2.23</v>
      </c>
      <c r="F46" s="5">
        <f t="shared" si="0"/>
        <v>45470.477789351855</v>
      </c>
      <c r="G46" s="3">
        <f t="shared" si="1"/>
        <v>4.0774856514971217E-2</v>
      </c>
      <c r="H46" s="3">
        <f t="shared" si="2"/>
        <v>7.1763747466349346E-3</v>
      </c>
      <c r="I46">
        <f t="shared" si="3"/>
        <v>2.2290901786348951</v>
      </c>
      <c r="J46">
        <f t="shared" si="4"/>
        <v>5.141381317030409</v>
      </c>
      <c r="K46">
        <v>2.0140000000000002E-3</v>
      </c>
    </row>
    <row r="47" spans="1:11" ht="15" x14ac:dyDescent="0.25">
      <c r="A47" s="1" t="s">
        <v>5</v>
      </c>
      <c r="B47" s="1" t="s">
        <v>43</v>
      </c>
      <c r="C47" s="1">
        <v>29.4</v>
      </c>
      <c r="D47" s="1">
        <v>18.3</v>
      </c>
      <c r="E47" s="1">
        <v>2.86</v>
      </c>
      <c r="F47" s="5">
        <f t="shared" si="0"/>
        <v>45470.478020833332</v>
      </c>
      <c r="G47" s="3">
        <f t="shared" si="1"/>
        <v>4.1010757793371523E-2</v>
      </c>
      <c r="H47" s="3">
        <f t="shared" si="2"/>
        <v>7.5049686761869891E-3</v>
      </c>
      <c r="I47">
        <f t="shared" si="3"/>
        <v>2.8577040923290613</v>
      </c>
      <c r="J47">
        <f t="shared" si="4"/>
        <v>5.3750192172506894</v>
      </c>
      <c r="K47">
        <v>2.147E-3</v>
      </c>
    </row>
    <row r="48" spans="1:11" ht="15" x14ac:dyDescent="0.25">
      <c r="A48" s="1" t="s">
        <v>5</v>
      </c>
      <c r="B48" s="1" t="s">
        <v>44</v>
      </c>
      <c r="C48" s="1">
        <v>29.5</v>
      </c>
      <c r="D48" s="1">
        <v>20.100000000000001</v>
      </c>
      <c r="E48" s="1">
        <v>4.28</v>
      </c>
      <c r="F48" s="5">
        <f t="shared" si="0"/>
        <v>45470.478252314817</v>
      </c>
      <c r="G48" s="3">
        <f t="shared" si="1"/>
        <v>4.1247845568514671E-2</v>
      </c>
      <c r="H48" s="3">
        <f t="shared" si="2"/>
        <v>8.2908169592714499E-3</v>
      </c>
      <c r="I48">
        <f t="shared" si="3"/>
        <v>4.266904381514979</v>
      </c>
      <c r="J48">
        <f t="shared" si="4"/>
        <v>5.9358776880577295</v>
      </c>
      <c r="K48">
        <v>2.0470000000000002E-3</v>
      </c>
    </row>
    <row r="49" spans="1:11" ht="15" x14ac:dyDescent="0.25">
      <c r="A49" s="1" t="s">
        <v>5</v>
      </c>
      <c r="B49" s="1" t="s">
        <v>45</v>
      </c>
      <c r="C49" s="1">
        <v>29.6</v>
      </c>
      <c r="D49" s="1">
        <v>20.6</v>
      </c>
      <c r="E49" s="1">
        <v>4.71</v>
      </c>
      <c r="F49" s="5">
        <f t="shared" si="0"/>
        <v>45470.478483796294</v>
      </c>
      <c r="G49" s="3">
        <f t="shared" si="1"/>
        <v>4.1486124831677115E-2</v>
      </c>
      <c r="H49" s="3">
        <f t="shared" si="2"/>
        <v>8.5461417153254865E-3</v>
      </c>
      <c r="I49">
        <f t="shared" si="3"/>
        <v>4.6991635540239214</v>
      </c>
      <c r="J49">
        <f t="shared" si="4"/>
        <v>6.1166584856049493</v>
      </c>
      <c r="K49">
        <v>1.98E-3</v>
      </c>
    </row>
    <row r="50" spans="1:11" ht="15" x14ac:dyDescent="0.25">
      <c r="A50" s="1" t="s">
        <v>5</v>
      </c>
      <c r="B50" s="1" t="s">
        <v>46</v>
      </c>
      <c r="C50" s="1">
        <v>29.8</v>
      </c>
      <c r="D50" s="1">
        <v>21.5</v>
      </c>
      <c r="E50" s="1">
        <v>5.49</v>
      </c>
      <c r="F50" s="5">
        <f t="shared" si="0"/>
        <v>45470.478715277779</v>
      </c>
      <c r="G50" s="3">
        <f t="shared" si="1"/>
        <v>4.19662778688785E-2</v>
      </c>
      <c r="H50" s="3">
        <f t="shared" si="2"/>
        <v>9.0227497418088783E-3</v>
      </c>
      <c r="I50">
        <f t="shared" si="3"/>
        <v>5.4761430731537404</v>
      </c>
      <c r="J50">
        <f t="shared" si="4"/>
        <v>6.4535138968856653</v>
      </c>
      <c r="K50">
        <v>1.9959999999999999E-3</v>
      </c>
    </row>
    <row r="51" spans="1:11" ht="15" x14ac:dyDescent="0.25">
      <c r="A51" s="1" t="s">
        <v>5</v>
      </c>
      <c r="B51" s="1" t="s">
        <v>47</v>
      </c>
      <c r="C51" s="1">
        <v>29.9</v>
      </c>
      <c r="D51" s="1">
        <v>21.8</v>
      </c>
      <c r="E51" s="1">
        <v>5.77</v>
      </c>
      <c r="F51" s="5">
        <f t="shared" si="0"/>
        <v>45470.478946759256</v>
      </c>
      <c r="G51" s="3">
        <f t="shared" si="1"/>
        <v>4.220816170728698E-2</v>
      </c>
      <c r="H51" s="3">
        <f t="shared" si="2"/>
        <v>9.2013792521885625E-3</v>
      </c>
      <c r="I51">
        <f t="shared" si="3"/>
        <v>5.7579547260623523</v>
      </c>
      <c r="J51">
        <f t="shared" si="4"/>
        <v>6.5791068179099801</v>
      </c>
      <c r="K51">
        <v>2.036E-3</v>
      </c>
    </row>
    <row r="52" spans="1:11" ht="15" x14ac:dyDescent="0.25">
      <c r="A52" s="1" t="s">
        <v>5</v>
      </c>
      <c r="B52" s="1" t="s">
        <v>48</v>
      </c>
      <c r="C52" s="1">
        <v>30.1</v>
      </c>
      <c r="D52" s="1">
        <v>21.7</v>
      </c>
      <c r="E52" s="1">
        <v>5.87</v>
      </c>
      <c r="F52" s="5">
        <f t="shared" si="0"/>
        <v>45470.479178240741</v>
      </c>
      <c r="G52" s="3">
        <f t="shared" si="1"/>
        <v>4.269556930788676E-2</v>
      </c>
      <c r="H52" s="3">
        <f t="shared" si="2"/>
        <v>9.2649385398114268E-3</v>
      </c>
      <c r="I52">
        <f t="shared" si="3"/>
        <v>5.8570535512993844</v>
      </c>
      <c r="J52">
        <f t="shared" si="4"/>
        <v>6.6201835048523092</v>
      </c>
      <c r="K52">
        <v>2.1719999999999999E-3</v>
      </c>
    </row>
    <row r="53" spans="1:11" ht="15" x14ac:dyDescent="0.25">
      <c r="A53" s="1" t="s">
        <v>5</v>
      </c>
      <c r="B53" s="1" t="s">
        <v>49</v>
      </c>
      <c r="C53" s="1">
        <v>30.3</v>
      </c>
      <c r="D53" s="1">
        <v>21.5</v>
      </c>
      <c r="E53" s="1">
        <v>5.9</v>
      </c>
      <c r="F53" s="5">
        <f t="shared" si="0"/>
        <v>45470.479409722226</v>
      </c>
      <c r="G53" s="3">
        <f t="shared" si="1"/>
        <v>4.3187864044777501E-2</v>
      </c>
      <c r="H53" s="3">
        <f t="shared" si="2"/>
        <v>9.2853907696271634E-3</v>
      </c>
      <c r="I53">
        <f t="shared" si="3"/>
        <v>5.8888130332317266</v>
      </c>
      <c r="J53">
        <f t="shared" si="4"/>
        <v>6.6304245629055414</v>
      </c>
      <c r="K53">
        <v>2.1120000000000002E-3</v>
      </c>
    </row>
    <row r="54" spans="1:11" ht="15" x14ac:dyDescent="0.25">
      <c r="A54" s="1" t="s">
        <v>5</v>
      </c>
      <c r="B54" s="1" t="s">
        <v>50</v>
      </c>
      <c r="C54" s="1">
        <v>30.4</v>
      </c>
      <c r="D54" s="1">
        <v>21.1</v>
      </c>
      <c r="E54" s="1">
        <v>5.71</v>
      </c>
      <c r="F54" s="5">
        <f t="shared" si="0"/>
        <v>45470.479641203703</v>
      </c>
      <c r="G54" s="3">
        <f t="shared" si="1"/>
        <v>4.3435856865586431E-2</v>
      </c>
      <c r="H54" s="3">
        <f t="shared" si="2"/>
        <v>9.1649657986387374E-3</v>
      </c>
      <c r="I54">
        <f t="shared" si="3"/>
        <v>5.700905488123742</v>
      </c>
      <c r="J54">
        <f t="shared" si="4"/>
        <v>6.5422766662666136</v>
      </c>
      <c r="K54">
        <v>2.3029999999999999E-3</v>
      </c>
    </row>
    <row r="55" spans="1:11" ht="15" x14ac:dyDescent="0.25">
      <c r="A55" s="1" t="s">
        <v>5</v>
      </c>
      <c r="B55" s="1" t="s">
        <v>51</v>
      </c>
      <c r="C55" s="1">
        <v>30.6</v>
      </c>
      <c r="D55" s="1">
        <v>19.899999999999999</v>
      </c>
      <c r="E55" s="1">
        <v>5.04</v>
      </c>
      <c r="F55" s="5">
        <f t="shared" si="0"/>
        <v>45470.479872685188</v>
      </c>
      <c r="G55" s="3">
        <f t="shared" si="1"/>
        <v>4.3935559109677107E-2</v>
      </c>
      <c r="H55" s="3">
        <f t="shared" si="2"/>
        <v>8.7431762628257439E-3</v>
      </c>
      <c r="I55">
        <f t="shared" si="3"/>
        <v>5.0249421348443484</v>
      </c>
      <c r="J55">
        <f t="shared" si="4"/>
        <v>6.2370789564005324</v>
      </c>
      <c r="K55">
        <v>2.1329999999999999E-3</v>
      </c>
    </row>
    <row r="56" spans="1:11" ht="15" x14ac:dyDescent="0.25">
      <c r="A56" s="1" t="s">
        <v>5</v>
      </c>
      <c r="B56" s="1" t="s">
        <v>52</v>
      </c>
      <c r="C56" s="1">
        <v>30.8</v>
      </c>
      <c r="D56" s="1">
        <v>19.5</v>
      </c>
      <c r="E56" s="1">
        <v>4.91</v>
      </c>
      <c r="F56" s="5">
        <f t="shared" si="0"/>
        <v>45470.480104166665</v>
      </c>
      <c r="G56" s="3">
        <f t="shared" si="1"/>
        <v>4.4440251281768602E-2</v>
      </c>
      <c r="H56" s="3">
        <f t="shared" si="2"/>
        <v>8.6658489999448772E-3</v>
      </c>
      <c r="I56">
        <f t="shared" si="3"/>
        <v>4.8978760321650094</v>
      </c>
      <c r="J56">
        <f t="shared" si="4"/>
        <v>6.1778486475168881</v>
      </c>
      <c r="K56">
        <v>2.2039999999999998E-3</v>
      </c>
    </row>
    <row r="57" spans="1:11" ht="15" x14ac:dyDescent="0.25">
      <c r="A57" s="1" t="s">
        <v>5</v>
      </c>
      <c r="B57" s="1" t="s">
        <v>53</v>
      </c>
      <c r="C57" s="1">
        <v>30.9</v>
      </c>
      <c r="D57" s="1">
        <v>19.399999999999999</v>
      </c>
      <c r="E57" s="1">
        <v>4.92</v>
      </c>
      <c r="F57" s="5">
        <f t="shared" si="0"/>
        <v>45470.48033564815</v>
      </c>
      <c r="G57" s="3">
        <f t="shared" si="1"/>
        <v>4.4694481575264344E-2</v>
      </c>
      <c r="H57" s="3">
        <f t="shared" si="2"/>
        <v>8.6707294256012819E-3</v>
      </c>
      <c r="I57">
        <f t="shared" si="3"/>
        <v>4.905925474460032</v>
      </c>
      <c r="J57">
        <f t="shared" si="4"/>
        <v>6.1792948860311991</v>
      </c>
      <c r="K57">
        <v>1.9680000000000001E-3</v>
      </c>
    </row>
    <row r="58" spans="1:11" ht="15" x14ac:dyDescent="0.25">
      <c r="A58" s="1" t="s">
        <v>5</v>
      </c>
      <c r="B58" s="1" t="s">
        <v>54</v>
      </c>
      <c r="C58" s="1">
        <v>31.1</v>
      </c>
      <c r="D58" s="1">
        <v>18.5</v>
      </c>
      <c r="E58" s="1">
        <v>4.4000000000000004</v>
      </c>
      <c r="F58" s="5">
        <f t="shared" si="0"/>
        <v>45470.480567129627</v>
      </c>
      <c r="G58" s="3">
        <f t="shared" si="1"/>
        <v>4.5206736692806962E-2</v>
      </c>
      <c r="H58" s="3">
        <f t="shared" si="2"/>
        <v>8.3632462881692883E-3</v>
      </c>
      <c r="I58">
        <f t="shared" si="3"/>
        <v>4.3907175204884439</v>
      </c>
      <c r="J58">
        <f t="shared" si="4"/>
        <v>5.9562455592855548</v>
      </c>
      <c r="K58">
        <v>2.1210000000000001E-3</v>
      </c>
    </row>
    <row r="59" spans="1:11" ht="15" x14ac:dyDescent="0.25">
      <c r="A59" s="1" t="s">
        <v>5</v>
      </c>
      <c r="B59" s="1" t="s">
        <v>55</v>
      </c>
      <c r="C59" s="1">
        <v>31.3</v>
      </c>
      <c r="D59" s="1">
        <v>18.8</v>
      </c>
      <c r="E59" s="1">
        <v>4.79</v>
      </c>
      <c r="F59" s="5">
        <f t="shared" si="0"/>
        <v>45470.480798611112</v>
      </c>
      <c r="G59" s="3">
        <f t="shared" si="1"/>
        <v>4.572408620168289E-2</v>
      </c>
      <c r="H59" s="3">
        <f t="shared" si="2"/>
        <v>8.5961282059163827E-3</v>
      </c>
      <c r="I59">
        <f t="shared" si="3"/>
        <v>4.7824401274560246</v>
      </c>
      <c r="J59">
        <f t="shared" si="4"/>
        <v>6.1180806878655547</v>
      </c>
      <c r="K59">
        <v>1.9269999999999999E-3</v>
      </c>
    </row>
    <row r="60" spans="1:11" ht="15" x14ac:dyDescent="0.25">
      <c r="A60" s="1" t="s">
        <v>5</v>
      </c>
      <c r="B60" s="1" t="s">
        <v>56</v>
      </c>
      <c r="C60" s="1">
        <v>31.4</v>
      </c>
      <c r="D60" s="1">
        <v>18.3</v>
      </c>
      <c r="E60" s="1">
        <v>4.49</v>
      </c>
      <c r="F60" s="5">
        <f t="shared" si="0"/>
        <v>45470.481030092589</v>
      </c>
      <c r="G60" s="3">
        <f t="shared" si="1"/>
        <v>4.5984684547680788E-2</v>
      </c>
      <c r="H60" s="3">
        <f t="shared" si="2"/>
        <v>8.4151972722255833E-3</v>
      </c>
      <c r="I60">
        <f t="shared" si="3"/>
        <v>4.4789371769496347</v>
      </c>
      <c r="J60">
        <f t="shared" si="4"/>
        <v>5.9873409819084333</v>
      </c>
      <c r="K60">
        <v>2.1250000000000002E-3</v>
      </c>
    </row>
    <row r="61" spans="1:11" ht="15" x14ac:dyDescent="0.25">
      <c r="A61" s="1" t="s">
        <v>5</v>
      </c>
      <c r="B61" s="1" t="s">
        <v>57</v>
      </c>
      <c r="C61" s="1">
        <v>31.5</v>
      </c>
      <c r="D61" s="1">
        <v>16.899999999999999</v>
      </c>
      <c r="E61" s="1">
        <v>3.44</v>
      </c>
      <c r="F61" s="5">
        <f t="shared" si="0"/>
        <v>45470.481261574074</v>
      </c>
      <c r="G61" s="3">
        <f t="shared" si="1"/>
        <v>4.6246572359159875E-2</v>
      </c>
      <c r="H61" s="3">
        <f t="shared" si="2"/>
        <v>7.8156707286980188E-3</v>
      </c>
      <c r="I61">
        <f t="shared" si="3"/>
        <v>3.4299076285177166</v>
      </c>
      <c r="J61">
        <f t="shared" si="4"/>
        <v>5.5589576648250567</v>
      </c>
      <c r="K61">
        <v>2.1099999999999999E-3</v>
      </c>
    </row>
    <row r="62" spans="1:11" ht="15" x14ac:dyDescent="0.25">
      <c r="A62" s="1" t="s">
        <v>5</v>
      </c>
      <c r="B62" s="1" t="s">
        <v>58</v>
      </c>
      <c r="C62" s="1">
        <v>31.6</v>
      </c>
      <c r="D62" s="1">
        <v>17.2</v>
      </c>
      <c r="E62" s="1">
        <v>3.77</v>
      </c>
      <c r="F62" s="5">
        <f t="shared" si="0"/>
        <v>45470.481493055559</v>
      </c>
      <c r="G62" s="3">
        <f t="shared" si="1"/>
        <v>4.6509754960684428E-2</v>
      </c>
      <c r="H62" s="3">
        <f t="shared" si="2"/>
        <v>7.9996778532377202E-3</v>
      </c>
      <c r="I62">
        <f t="shared" si="3"/>
        <v>3.7592917138614497</v>
      </c>
      <c r="J62">
        <f t="shared" si="4"/>
        <v>5.6879671387485944</v>
      </c>
      <c r="K62">
        <v>1.9170000000000001E-3</v>
      </c>
    </row>
    <row r="63" spans="1:11" ht="15" x14ac:dyDescent="0.25">
      <c r="A63" s="1" t="s">
        <v>5</v>
      </c>
      <c r="B63" s="1" t="s">
        <v>59</v>
      </c>
      <c r="C63" s="1">
        <v>31.8</v>
      </c>
      <c r="D63" s="1">
        <v>17.600000000000001</v>
      </c>
      <c r="E63" s="1">
        <v>4.25</v>
      </c>
      <c r="F63" s="5">
        <f t="shared" si="0"/>
        <v>45470.481724537036</v>
      </c>
      <c r="G63" s="3">
        <f t="shared" si="1"/>
        <v>4.7040025917302247E-2</v>
      </c>
      <c r="H63" s="3">
        <f t="shared" si="2"/>
        <v>8.2790445614451952E-3</v>
      </c>
      <c r="I63">
        <f t="shared" si="3"/>
        <v>4.246689247204138</v>
      </c>
      <c r="J63">
        <f t="shared" si="4"/>
        <v>5.8827430185934935</v>
      </c>
      <c r="K63">
        <v>1.7949999999999999E-3</v>
      </c>
    </row>
    <row r="64" spans="1:11" ht="15" x14ac:dyDescent="0.25">
      <c r="A64" s="1" t="s">
        <v>5</v>
      </c>
      <c r="B64" s="1" t="s">
        <v>60</v>
      </c>
      <c r="C64" s="1">
        <v>31.9</v>
      </c>
      <c r="D64" s="1">
        <v>16.3</v>
      </c>
      <c r="E64" s="1">
        <v>3.24</v>
      </c>
      <c r="F64" s="5">
        <f t="shared" si="0"/>
        <v>45470.481956018521</v>
      </c>
      <c r="G64" s="3">
        <f t="shared" si="1"/>
        <v>4.7307125006803619E-2</v>
      </c>
      <c r="H64" s="3">
        <f t="shared" si="2"/>
        <v>7.7110613761089894E-3</v>
      </c>
      <c r="I64">
        <f t="shared" si="3"/>
        <v>3.2395553188242099</v>
      </c>
      <c r="J64">
        <f t="shared" si="4"/>
        <v>5.4773617568396711</v>
      </c>
      <c r="K64">
        <v>1.7290000000000001E-3</v>
      </c>
    </row>
    <row r="65" spans="1:11" ht="15" x14ac:dyDescent="0.25">
      <c r="A65" s="1" t="s">
        <v>5</v>
      </c>
      <c r="B65" s="1" t="s">
        <v>61</v>
      </c>
      <c r="C65" s="1">
        <v>31.9</v>
      </c>
      <c r="D65" s="1">
        <v>16.100000000000001</v>
      </c>
      <c r="E65" s="1">
        <v>3.07</v>
      </c>
      <c r="F65" s="5">
        <f t="shared" si="0"/>
        <v>45470.482187499998</v>
      </c>
      <c r="G65" s="3">
        <f t="shared" si="1"/>
        <v>4.7307125006803619E-2</v>
      </c>
      <c r="H65" s="3">
        <f t="shared" si="2"/>
        <v>7.6164471260953834E-3</v>
      </c>
      <c r="I65">
        <f t="shared" si="3"/>
        <v>3.0653972227877717</v>
      </c>
      <c r="J65">
        <f t="shared" si="4"/>
        <v>5.4101548641177128</v>
      </c>
      <c r="K65">
        <v>1.923E-3</v>
      </c>
    </row>
    <row r="66" spans="1:11" ht="15" x14ac:dyDescent="0.25">
      <c r="A66" s="1" t="s">
        <v>5</v>
      </c>
      <c r="B66" s="1" t="s">
        <v>62</v>
      </c>
      <c r="C66" s="1">
        <v>32.1</v>
      </c>
      <c r="D66" s="1">
        <v>17.2</v>
      </c>
      <c r="E66" s="1">
        <v>4.17</v>
      </c>
      <c r="F66" s="5">
        <f t="shared" si="0"/>
        <v>45470.482418981483</v>
      </c>
      <c r="G66" s="3">
        <f t="shared" si="1"/>
        <v>4.7845277372651519E-2</v>
      </c>
      <c r="H66" s="3">
        <f t="shared" si="2"/>
        <v>8.2293877080960604E-3</v>
      </c>
      <c r="I66">
        <f t="shared" si="3"/>
        <v>4.1611373930378042</v>
      </c>
      <c r="J66">
        <f t="shared" si="4"/>
        <v>5.8417120457689675</v>
      </c>
      <c r="K66">
        <v>1.9880000000000002E-3</v>
      </c>
    </row>
    <row r="67" spans="1:11" ht="15" x14ac:dyDescent="0.25">
      <c r="A67" s="1" t="s">
        <v>5</v>
      </c>
      <c r="B67" s="1" t="s">
        <v>63</v>
      </c>
      <c r="C67" s="1">
        <v>32.1</v>
      </c>
      <c r="D67" s="1">
        <v>16</v>
      </c>
      <c r="E67" s="1">
        <v>3.14</v>
      </c>
      <c r="F67" s="5">
        <f t="shared" si="0"/>
        <v>45470.48265046296</v>
      </c>
      <c r="G67" s="3">
        <f t="shared" si="1"/>
        <v>4.7845277372651519E-2</v>
      </c>
      <c r="H67" s="3">
        <f t="shared" si="2"/>
        <v>7.6552443796242429E-3</v>
      </c>
      <c r="I67">
        <f t="shared" si="3"/>
        <v>3.1370440438925566</v>
      </c>
      <c r="J67">
        <f t="shared" si="4"/>
        <v>5.4341507402502023</v>
      </c>
      <c r="K67">
        <v>1.9689999999999998E-3</v>
      </c>
    </row>
    <row r="68" spans="1:11" ht="15" x14ac:dyDescent="0.25">
      <c r="A68" s="1" t="s">
        <v>5</v>
      </c>
      <c r="B68" s="1" t="s">
        <v>64</v>
      </c>
      <c r="C68" s="1">
        <v>32.299999999999997</v>
      </c>
      <c r="D68" s="1">
        <v>16.3</v>
      </c>
      <c r="E68" s="1">
        <v>3.56</v>
      </c>
      <c r="F68" s="5">
        <f t="shared" si="0"/>
        <v>45470.482881944445</v>
      </c>
      <c r="G68" s="3">
        <f t="shared" si="1"/>
        <v>4.8388738140683639E-2</v>
      </c>
      <c r="H68" s="3">
        <f t="shared" si="2"/>
        <v>7.8873643169314334E-3</v>
      </c>
      <c r="I68">
        <f t="shared" si="3"/>
        <v>3.5590573398170107</v>
      </c>
      <c r="J68">
        <f t="shared" si="4"/>
        <v>5.5952573512794448</v>
      </c>
      <c r="K68">
        <v>1.8420000000000001E-3</v>
      </c>
    </row>
    <row r="69" spans="1:11" ht="15" x14ac:dyDescent="0.25">
      <c r="A69" s="1" t="s">
        <v>5</v>
      </c>
      <c r="B69" s="1" t="s">
        <v>65</v>
      </c>
      <c r="C69" s="1">
        <v>32.299999999999997</v>
      </c>
      <c r="D69" s="1">
        <v>16.100000000000001</v>
      </c>
      <c r="E69" s="1">
        <v>3.39</v>
      </c>
      <c r="F69" s="5">
        <f t="shared" si="0"/>
        <v>45470.483113425929</v>
      </c>
      <c r="G69" s="3">
        <f t="shared" si="1"/>
        <v>4.8388738140683639E-2</v>
      </c>
      <c r="H69" s="3">
        <f t="shared" si="2"/>
        <v>7.7905868406500664E-3</v>
      </c>
      <c r="I69">
        <f t="shared" si="3"/>
        <v>3.3844717190610161</v>
      </c>
      <c r="J69">
        <f t="shared" si="4"/>
        <v>5.5266038868465683</v>
      </c>
      <c r="K69">
        <v>1.8060000000000001E-3</v>
      </c>
    </row>
    <row r="70" spans="1:11" ht="15" x14ac:dyDescent="0.25">
      <c r="A70" s="1" t="s">
        <v>5</v>
      </c>
      <c r="B70" s="1" t="s">
        <v>66</v>
      </c>
      <c r="C70" s="1">
        <v>32.4</v>
      </c>
      <c r="D70" s="1">
        <v>16.899999999999999</v>
      </c>
      <c r="E70" s="1">
        <v>4.16</v>
      </c>
      <c r="F70" s="5">
        <f t="shared" si="0"/>
        <v>45470.483344907407</v>
      </c>
      <c r="G70" s="3">
        <f t="shared" si="1"/>
        <v>4.8662472797551849E-2</v>
      </c>
      <c r="H70" s="3">
        <f t="shared" si="2"/>
        <v>8.2239579027862612E-3</v>
      </c>
      <c r="I70">
        <f t="shared" si="3"/>
        <v>4.1517547100340746</v>
      </c>
      <c r="J70">
        <f t="shared" si="4"/>
        <v>5.8321258259123949</v>
      </c>
      <c r="K70">
        <v>1.818E-3</v>
      </c>
    </row>
    <row r="71" spans="1:11" ht="15" x14ac:dyDescent="0.25">
      <c r="A71" s="1" t="s">
        <v>5</v>
      </c>
      <c r="B71" s="1" t="s">
        <v>67</v>
      </c>
      <c r="C71" s="1">
        <v>32.5</v>
      </c>
      <c r="D71" s="1">
        <v>16.5</v>
      </c>
      <c r="E71" s="1">
        <v>3.9</v>
      </c>
      <c r="F71" s="5">
        <f t="shared" si="0"/>
        <v>45470.483576388891</v>
      </c>
      <c r="G71" s="3">
        <f t="shared" si="1"/>
        <v>4.8937550935975835E-2</v>
      </c>
      <c r="H71" s="3">
        <f t="shared" si="2"/>
        <v>8.074695904436012E-3</v>
      </c>
      <c r="I71">
        <f t="shared" si="3"/>
        <v>3.8916438369285871</v>
      </c>
      <c r="J71">
        <f t="shared" si="4"/>
        <v>5.7244012800002366</v>
      </c>
      <c r="K71">
        <v>2.787E-3</v>
      </c>
    </row>
    <row r="72" spans="1:11" ht="15" x14ac:dyDescent="0.25">
      <c r="A72" s="1" t="s">
        <v>5</v>
      </c>
      <c r="B72" s="1" t="s">
        <v>68</v>
      </c>
      <c r="C72" s="1">
        <v>32.6</v>
      </c>
      <c r="D72" s="1">
        <v>16.7</v>
      </c>
      <c r="E72" s="1">
        <v>4.1500000000000004</v>
      </c>
      <c r="F72" s="5">
        <f t="shared" si="0"/>
        <v>45470.483807870369</v>
      </c>
      <c r="G72" s="3">
        <f t="shared" si="1"/>
        <v>4.9213978052363425E-2</v>
      </c>
      <c r="H72" s="3">
        <f t="shared" si="2"/>
        <v>8.2187343347446921E-3</v>
      </c>
      <c r="I72">
        <f t="shared" si="3"/>
        <v>4.1427231925515757</v>
      </c>
      <c r="J72">
        <f t="shared" si="4"/>
        <v>5.8246089246429298</v>
      </c>
      <c r="K72">
        <v>1.5709999999999999E-3</v>
      </c>
    </row>
    <row r="73" spans="1:11" ht="15" x14ac:dyDescent="0.25">
      <c r="A73" s="1" t="s">
        <v>5</v>
      </c>
      <c r="B73" s="1" t="s">
        <v>69</v>
      </c>
      <c r="C73" s="1">
        <v>32.700000000000003</v>
      </c>
      <c r="D73" s="1">
        <v>17</v>
      </c>
      <c r="E73" s="1">
        <v>4.4800000000000004</v>
      </c>
      <c r="F73" s="5">
        <f t="shared" si="0"/>
        <v>45470.484039351853</v>
      </c>
      <c r="G73" s="3">
        <f t="shared" si="1"/>
        <v>4.949175966049775E-2</v>
      </c>
      <c r="H73" s="3">
        <f t="shared" si="2"/>
        <v>8.4135991422846172E-3</v>
      </c>
      <c r="I73">
        <f t="shared" si="3"/>
        <v>4.4762305844199695</v>
      </c>
      <c r="J73">
        <f t="shared" si="4"/>
        <v>5.9607598682212695</v>
      </c>
      <c r="K73">
        <v>1.5560000000000001E-3</v>
      </c>
    </row>
    <row r="74" spans="1:11" ht="15" x14ac:dyDescent="0.25">
      <c r="A74" s="1" t="s">
        <v>5</v>
      </c>
      <c r="B74" s="1" t="s">
        <v>70</v>
      </c>
      <c r="C74" s="1">
        <v>32.799999999999997</v>
      </c>
      <c r="D74" s="1">
        <v>17</v>
      </c>
      <c r="E74" s="1">
        <v>4.5599999999999996</v>
      </c>
      <c r="F74" s="5">
        <f t="shared" ref="F74:F137" si="5">A74+B74</f>
        <v>45470.484270833331</v>
      </c>
      <c r="G74" s="3">
        <f t="shared" ref="G74:G137" si="6">$B$2*EXP(($B$3-C74/$B$5)*(C74/($B$4+C74)))</f>
        <v>4.9770901291571967E-2</v>
      </c>
      <c r="H74" s="3">
        <f t="shared" ref="H74:H137" si="7">D74*G74/100</f>
        <v>8.4610532195672338E-3</v>
      </c>
      <c r="I74">
        <f t="shared" ref="I74:I137" si="8">$B$4*LN(H74/$B$2)/($B$3-LN(H74/$B$2))</f>
        <v>4.5564043474342215</v>
      </c>
      <c r="J74">
        <f t="shared" ref="J74:J137" si="9">1000*H74*100000/($B$6*(C74+273.15))</f>
        <v>5.9924202625304055</v>
      </c>
      <c r="K74">
        <v>2.5999999999999998E-4</v>
      </c>
    </row>
    <row r="75" spans="1:11" ht="15" x14ac:dyDescent="0.25">
      <c r="A75" s="1" t="s">
        <v>5</v>
      </c>
      <c r="B75" s="1" t="s">
        <v>71</v>
      </c>
      <c r="C75" s="1">
        <v>32.9</v>
      </c>
      <c r="D75" s="1">
        <v>16.5</v>
      </c>
      <c r="E75" s="1">
        <v>4.22</v>
      </c>
      <c r="F75" s="5">
        <f t="shared" si="5"/>
        <v>45470.484502314815</v>
      </c>
      <c r="G75" s="3">
        <f t="shared" si="6"/>
        <v>5.0051408494224181E-2</v>
      </c>
      <c r="H75" s="3">
        <f t="shared" si="7"/>
        <v>8.2584824015469894E-3</v>
      </c>
      <c r="I75">
        <f t="shared" si="8"/>
        <v>4.2113191266513237</v>
      </c>
      <c r="J75">
        <f t="shared" si="9"/>
        <v>5.847041259870327</v>
      </c>
      <c r="K75">
        <v>2.1380000000000001E-3</v>
      </c>
    </row>
    <row r="76" spans="1:11" ht="15" x14ac:dyDescent="0.25">
      <c r="A76" s="1" t="s">
        <v>5</v>
      </c>
      <c r="B76" s="1" t="s">
        <v>72</v>
      </c>
      <c r="C76" s="1">
        <v>32.9</v>
      </c>
      <c r="D76" s="1">
        <v>16.100000000000001</v>
      </c>
      <c r="E76" s="1">
        <v>3.87</v>
      </c>
      <c r="F76" s="5">
        <f t="shared" si="5"/>
        <v>45470.484733796293</v>
      </c>
      <c r="G76" s="3">
        <f t="shared" si="6"/>
        <v>5.0051408494224181E-2</v>
      </c>
      <c r="H76" s="3">
        <f t="shared" si="7"/>
        <v>8.0582767675700939E-3</v>
      </c>
      <c r="I76">
        <f t="shared" si="8"/>
        <v>3.8627700109461043</v>
      </c>
      <c r="J76">
        <f t="shared" si="9"/>
        <v>5.7052948050855914</v>
      </c>
      <c r="K76">
        <v>2.843E-3</v>
      </c>
    </row>
    <row r="77" spans="1:11" ht="15" x14ac:dyDescent="0.25">
      <c r="A77" s="1" t="s">
        <v>5</v>
      </c>
      <c r="B77" s="1" t="s">
        <v>73</v>
      </c>
      <c r="C77" s="1">
        <v>33.1</v>
      </c>
      <c r="D77" s="1">
        <v>15.4</v>
      </c>
      <c r="E77" s="1">
        <v>3.4</v>
      </c>
      <c r="F77" s="5">
        <f t="shared" si="5"/>
        <v>45470.484965277778</v>
      </c>
      <c r="G77" s="3">
        <f t="shared" si="6"/>
        <v>5.0616541896246647E-2</v>
      </c>
      <c r="H77" s="3">
        <f t="shared" si="7"/>
        <v>7.7949474520219841E-3</v>
      </c>
      <c r="I77">
        <f t="shared" si="8"/>
        <v>3.3923797054767202</v>
      </c>
      <c r="J77">
        <f t="shared" si="9"/>
        <v>5.5152523595353102</v>
      </c>
      <c r="K77">
        <v>2.4369999999999999E-3</v>
      </c>
    </row>
    <row r="78" spans="1:11" ht="15" x14ac:dyDescent="0.25">
      <c r="A78" s="1" t="s">
        <v>5</v>
      </c>
      <c r="B78" s="1" t="s">
        <v>74</v>
      </c>
      <c r="C78" s="1">
        <v>33.1</v>
      </c>
      <c r="D78" s="1">
        <v>16.7</v>
      </c>
      <c r="E78" s="1">
        <v>4.55</v>
      </c>
      <c r="F78" s="5">
        <f t="shared" si="5"/>
        <v>45470.485196759262</v>
      </c>
      <c r="G78" s="3">
        <f t="shared" si="6"/>
        <v>5.0616541896246647E-2</v>
      </c>
      <c r="H78" s="3">
        <f t="shared" si="7"/>
        <v>8.4529624966731901E-3</v>
      </c>
      <c r="I78">
        <f t="shared" si="8"/>
        <v>4.5427634328896946</v>
      </c>
      <c r="J78">
        <f t="shared" si="9"/>
        <v>5.9808256106649154</v>
      </c>
      <c r="K78">
        <v>2.4740000000000001E-3</v>
      </c>
    </row>
    <row r="79" spans="1:11" ht="15" x14ac:dyDescent="0.25">
      <c r="A79" s="1" t="s">
        <v>5</v>
      </c>
      <c r="B79" s="1" t="s">
        <v>75</v>
      </c>
      <c r="C79" s="1">
        <v>33.200000000000003</v>
      </c>
      <c r="D79" s="1">
        <v>16</v>
      </c>
      <c r="E79" s="1">
        <v>4.0199999999999996</v>
      </c>
      <c r="F79" s="5">
        <f t="shared" si="5"/>
        <v>45470.48542824074</v>
      </c>
      <c r="G79" s="3">
        <f t="shared" si="6"/>
        <v>5.0901179280429615E-2</v>
      </c>
      <c r="H79" s="3">
        <f t="shared" si="7"/>
        <v>8.1441886848687382E-3</v>
      </c>
      <c r="I79">
        <f t="shared" si="8"/>
        <v>4.0132736334323287</v>
      </c>
      <c r="J79">
        <f t="shared" si="9"/>
        <v>5.7604742130280941</v>
      </c>
      <c r="K79">
        <v>2.183E-3</v>
      </c>
    </row>
    <row r="80" spans="1:11" ht="15" x14ac:dyDescent="0.25">
      <c r="A80" s="1" t="s">
        <v>5</v>
      </c>
      <c r="B80" s="1" t="s">
        <v>76</v>
      </c>
      <c r="C80" s="1">
        <v>33.299999999999997</v>
      </c>
      <c r="D80" s="1">
        <v>16.3</v>
      </c>
      <c r="E80" s="1">
        <v>4.3600000000000003</v>
      </c>
      <c r="F80" s="5">
        <f t="shared" si="5"/>
        <v>45470.485659722224</v>
      </c>
      <c r="G80" s="3">
        <f t="shared" si="6"/>
        <v>5.1187204605885162E-2</v>
      </c>
      <c r="H80" s="3">
        <f t="shared" si="7"/>
        <v>8.3435143507592808E-3</v>
      </c>
      <c r="I80">
        <f t="shared" si="8"/>
        <v>4.3570820723615178</v>
      </c>
      <c r="J80">
        <f t="shared" si="9"/>
        <v>5.8995336988296447</v>
      </c>
      <c r="K80">
        <v>1.885E-3</v>
      </c>
    </row>
    <row r="81" spans="1:11" ht="15" x14ac:dyDescent="0.25">
      <c r="A81" s="1" t="s">
        <v>5</v>
      </c>
      <c r="B81" s="1" t="s">
        <v>77</v>
      </c>
      <c r="C81" s="1">
        <v>33.299999999999997</v>
      </c>
      <c r="D81" s="1">
        <v>15.8</v>
      </c>
      <c r="E81" s="1">
        <v>3.92</v>
      </c>
      <c r="F81" s="5">
        <f t="shared" si="5"/>
        <v>45470.485891203702</v>
      </c>
      <c r="G81" s="3">
        <f t="shared" si="6"/>
        <v>5.1187204605885162E-2</v>
      </c>
      <c r="H81" s="3">
        <f t="shared" si="7"/>
        <v>8.0875783277298569E-3</v>
      </c>
      <c r="I81">
        <f t="shared" si="8"/>
        <v>3.9142615721922862</v>
      </c>
      <c r="J81">
        <f t="shared" si="9"/>
        <v>5.718566407454504</v>
      </c>
      <c r="K81">
        <v>2.715E-3</v>
      </c>
    </row>
    <row r="82" spans="1:11" ht="15" x14ac:dyDescent="0.25">
      <c r="A82" s="1" t="s">
        <v>5</v>
      </c>
      <c r="B82" s="1" t="s">
        <v>78</v>
      </c>
      <c r="C82" s="1">
        <v>33.4</v>
      </c>
      <c r="D82" s="1">
        <v>16.100000000000001</v>
      </c>
      <c r="E82" s="1">
        <v>4.2699999999999996</v>
      </c>
      <c r="F82" s="5">
        <f t="shared" si="5"/>
        <v>45470.486122685186</v>
      </c>
      <c r="G82" s="3">
        <f t="shared" si="6"/>
        <v>5.1474623508996509E-2</v>
      </c>
      <c r="H82" s="3">
        <f t="shared" si="7"/>
        <v>8.2874143849484376E-3</v>
      </c>
      <c r="I82">
        <f t="shared" si="8"/>
        <v>4.2610642339433031</v>
      </c>
      <c r="J82">
        <f t="shared" si="9"/>
        <v>5.8579549711744558</v>
      </c>
      <c r="K82">
        <v>1.691E-3</v>
      </c>
    </row>
    <row r="83" spans="1:11" ht="15" x14ac:dyDescent="0.25">
      <c r="A83" s="1" t="s">
        <v>5</v>
      </c>
      <c r="B83" s="1" t="s">
        <v>79</v>
      </c>
      <c r="C83" s="1">
        <v>33.4</v>
      </c>
      <c r="D83" s="1">
        <v>16.100000000000001</v>
      </c>
      <c r="E83" s="1">
        <v>4.2699999999999996</v>
      </c>
      <c r="F83" s="5">
        <f t="shared" si="5"/>
        <v>45470.486354166664</v>
      </c>
      <c r="G83" s="3">
        <f t="shared" si="6"/>
        <v>5.1474623508996509E-2</v>
      </c>
      <c r="H83" s="3">
        <f t="shared" si="7"/>
        <v>8.2874143849484376E-3</v>
      </c>
      <c r="I83">
        <f t="shared" si="8"/>
        <v>4.2610642339433031</v>
      </c>
      <c r="J83">
        <f t="shared" si="9"/>
        <v>5.8579549711744558</v>
      </c>
      <c r="K83">
        <v>1.4519999999999999E-3</v>
      </c>
    </row>
    <row r="84" spans="1:11" ht="15" x14ac:dyDescent="0.25">
      <c r="A84" s="1" t="s">
        <v>5</v>
      </c>
      <c r="B84" s="1" t="s">
        <v>80</v>
      </c>
      <c r="C84" s="1">
        <v>33.4</v>
      </c>
      <c r="D84" s="1">
        <v>17.399999999999999</v>
      </c>
      <c r="E84" s="1">
        <v>5.38</v>
      </c>
      <c r="F84" s="5">
        <f t="shared" si="5"/>
        <v>45470.486585648148</v>
      </c>
      <c r="G84" s="3">
        <f t="shared" si="6"/>
        <v>5.1474623508996509E-2</v>
      </c>
      <c r="H84" s="3">
        <f t="shared" si="7"/>
        <v>8.9565844905653905E-3</v>
      </c>
      <c r="I84">
        <f t="shared" si="8"/>
        <v>5.3704962609062354</v>
      </c>
      <c r="J84">
        <f t="shared" si="9"/>
        <v>6.3309575464866779</v>
      </c>
      <c r="K84">
        <v>1.892E-3</v>
      </c>
    </row>
    <row r="85" spans="1:11" ht="15" x14ac:dyDescent="0.25">
      <c r="A85" s="1" t="s">
        <v>5</v>
      </c>
      <c r="B85" s="1" t="s">
        <v>81</v>
      </c>
      <c r="C85" s="1">
        <v>33.5</v>
      </c>
      <c r="D85" s="1">
        <v>19.899999999999999</v>
      </c>
      <c r="E85" s="1">
        <v>7.41</v>
      </c>
      <c r="F85" s="5">
        <f t="shared" si="5"/>
        <v>45470.486817129633</v>
      </c>
      <c r="G85" s="3">
        <f t="shared" si="6"/>
        <v>5.1763441643799986E-2</v>
      </c>
      <c r="H85" s="3">
        <f t="shared" si="7"/>
        <v>1.0300924887116196E-2</v>
      </c>
      <c r="I85">
        <f t="shared" si="8"/>
        <v>7.3924523319332502</v>
      </c>
      <c r="J85">
        <f t="shared" si="9"/>
        <v>7.2788294906150908</v>
      </c>
      <c r="K85">
        <v>2.0939999999999999E-3</v>
      </c>
    </row>
    <row r="86" spans="1:11" ht="15" x14ac:dyDescent="0.25">
      <c r="A86" s="1" t="s">
        <v>5</v>
      </c>
      <c r="B86" s="1" t="s">
        <v>82</v>
      </c>
      <c r="C86" s="1">
        <v>33.6</v>
      </c>
      <c r="D86" s="1">
        <v>22.4</v>
      </c>
      <c r="E86" s="1">
        <v>9.24</v>
      </c>
      <c r="F86" s="5">
        <f t="shared" si="5"/>
        <v>45470.48704861111</v>
      </c>
      <c r="G86" s="3">
        <f t="shared" si="6"/>
        <v>5.2053664682019975E-2</v>
      </c>
      <c r="H86" s="3">
        <f t="shared" si="7"/>
        <v>1.1660020888772472E-2</v>
      </c>
      <c r="I86">
        <f t="shared" si="8"/>
        <v>9.2105491456943547</v>
      </c>
      <c r="J86">
        <f t="shared" si="9"/>
        <v>8.2365066175532089</v>
      </c>
      <c r="K86">
        <v>2.9190000000000002E-3</v>
      </c>
    </row>
    <row r="87" spans="1:11" ht="15" x14ac:dyDescent="0.25">
      <c r="A87" s="1" t="s">
        <v>5</v>
      </c>
      <c r="B87" s="1" t="s">
        <v>83</v>
      </c>
      <c r="C87" s="1">
        <v>33.700000000000003</v>
      </c>
      <c r="D87" s="1">
        <v>24.6</v>
      </c>
      <c r="E87" s="1">
        <v>10.72</v>
      </c>
      <c r="F87" s="5">
        <f t="shared" si="5"/>
        <v>45470.487280092595</v>
      </c>
      <c r="G87" s="3">
        <f t="shared" si="6"/>
        <v>5.2345298313103666E-2</v>
      </c>
      <c r="H87" s="3">
        <f t="shared" si="7"/>
        <v>1.2876943385023503E-2</v>
      </c>
      <c r="I87">
        <f t="shared" si="8"/>
        <v>10.685010045559</v>
      </c>
      <c r="J87">
        <f t="shared" si="9"/>
        <v>9.0931625218567547</v>
      </c>
      <c r="K87">
        <v>2.4380000000000001E-3</v>
      </c>
    </row>
    <row r="88" spans="1:11" ht="15" x14ac:dyDescent="0.25">
      <c r="A88" s="1" t="s">
        <v>5</v>
      </c>
      <c r="B88" s="1" t="s">
        <v>84</v>
      </c>
      <c r="C88" s="1">
        <v>33.9</v>
      </c>
      <c r="D88" s="1">
        <v>26.2</v>
      </c>
      <c r="E88" s="1">
        <v>11.84</v>
      </c>
      <c r="F88" s="5">
        <f t="shared" si="5"/>
        <v>45470.487511574072</v>
      </c>
      <c r="G88" s="3">
        <f t="shared" si="6"/>
        <v>5.293282020047315E-2</v>
      </c>
      <c r="H88" s="3">
        <f t="shared" si="7"/>
        <v>1.3868398892523965E-2</v>
      </c>
      <c r="I88">
        <f t="shared" si="8"/>
        <v>11.797398411646908</v>
      </c>
      <c r="J88">
        <f t="shared" si="9"/>
        <v>9.7869082643285239</v>
      </c>
      <c r="K88">
        <v>2.957E-3</v>
      </c>
    </row>
    <row r="89" spans="1:11" ht="15" x14ac:dyDescent="0.25">
      <c r="A89" s="1" t="s">
        <v>5</v>
      </c>
      <c r="B89" s="1" t="s">
        <v>85</v>
      </c>
      <c r="C89" s="1">
        <v>34.1</v>
      </c>
      <c r="D89" s="1">
        <v>27.6</v>
      </c>
      <c r="E89" s="1">
        <v>12.8</v>
      </c>
      <c r="F89" s="5">
        <f t="shared" si="5"/>
        <v>45470.487743055557</v>
      </c>
      <c r="G89" s="3">
        <f t="shared" si="6"/>
        <v>5.3526053177261924E-2</v>
      </c>
      <c r="H89" s="3">
        <f t="shared" si="7"/>
        <v>1.4773190676924293E-2</v>
      </c>
      <c r="I89">
        <f t="shared" si="8"/>
        <v>12.752540816023743</v>
      </c>
      <c r="J89">
        <f t="shared" si="9"/>
        <v>10.418632190057922</v>
      </c>
      <c r="K89">
        <v>2.836E-3</v>
      </c>
    </row>
    <row r="90" spans="1:11" ht="15" x14ac:dyDescent="0.25">
      <c r="A90" s="1" t="s">
        <v>5</v>
      </c>
      <c r="B90" s="1" t="s">
        <v>86</v>
      </c>
      <c r="C90" s="1">
        <v>34.299999999999997</v>
      </c>
      <c r="D90" s="1">
        <v>28.5</v>
      </c>
      <c r="E90" s="1">
        <v>13.46</v>
      </c>
      <c r="F90" s="5">
        <f t="shared" si="5"/>
        <v>45470.487974537034</v>
      </c>
      <c r="G90" s="3">
        <f t="shared" si="6"/>
        <v>5.4125043400612277E-2</v>
      </c>
      <c r="H90" s="3">
        <f t="shared" si="7"/>
        <v>1.5425637369174499E-2</v>
      </c>
      <c r="I90">
        <f t="shared" si="8"/>
        <v>13.40957847075542</v>
      </c>
      <c r="J90">
        <f t="shared" si="9"/>
        <v>10.871686360878558</v>
      </c>
      <c r="K90">
        <v>2.875E-3</v>
      </c>
    </row>
    <row r="91" spans="1:11" ht="15" x14ac:dyDescent="0.25">
      <c r="A91" s="1" t="s">
        <v>5</v>
      </c>
      <c r="B91" s="1" t="s">
        <v>87</v>
      </c>
      <c r="C91" s="1">
        <v>34.4</v>
      </c>
      <c r="D91" s="1">
        <v>29.1</v>
      </c>
      <c r="E91" s="1">
        <v>13.87</v>
      </c>
      <c r="F91" s="5">
        <f t="shared" si="5"/>
        <v>45470.488206018519</v>
      </c>
      <c r="G91" s="3">
        <f t="shared" si="6"/>
        <v>5.4426711982274119E-2</v>
      </c>
      <c r="H91" s="3">
        <f t="shared" si="7"/>
        <v>1.5838173186841768E-2</v>
      </c>
      <c r="I91">
        <f t="shared" si="8"/>
        <v>13.812401982049805</v>
      </c>
      <c r="J91">
        <f t="shared" si="9"/>
        <v>11.158804036191929</v>
      </c>
      <c r="K91">
        <v>3.1939999999999998E-3</v>
      </c>
    </row>
    <row r="92" spans="1:11" ht="15" x14ac:dyDescent="0.25">
      <c r="A92" s="1" t="s">
        <v>5</v>
      </c>
      <c r="B92" s="1" t="s">
        <v>88</v>
      </c>
      <c r="C92" s="1">
        <v>34.6</v>
      </c>
      <c r="D92" s="1">
        <v>29.8</v>
      </c>
      <c r="E92" s="1">
        <v>14.41</v>
      </c>
      <c r="F92" s="5">
        <f t="shared" si="5"/>
        <v>45470.488437499997</v>
      </c>
      <c r="G92" s="3">
        <f t="shared" si="6"/>
        <v>5.5034425248008681E-2</v>
      </c>
      <c r="H92" s="3">
        <f t="shared" si="7"/>
        <v>1.6400258723906588E-2</v>
      </c>
      <c r="I92">
        <f t="shared" si="8"/>
        <v>14.346528066797068</v>
      </c>
      <c r="J92">
        <f t="shared" si="9"/>
        <v>11.547312853422088</v>
      </c>
      <c r="K92">
        <v>3.5349999999999999E-3</v>
      </c>
    </row>
    <row r="93" spans="1:11" ht="15" x14ac:dyDescent="0.25">
      <c r="A93" s="1" t="s">
        <v>5</v>
      </c>
      <c r="B93" s="1" t="s">
        <v>89</v>
      </c>
      <c r="C93" s="1">
        <v>34.799999999999997</v>
      </c>
      <c r="D93" s="1">
        <v>30.4</v>
      </c>
      <c r="E93" s="1">
        <v>14.89</v>
      </c>
      <c r="F93" s="5">
        <f t="shared" si="5"/>
        <v>45470.488668981481</v>
      </c>
      <c r="G93" s="3">
        <f t="shared" si="6"/>
        <v>5.564801241078525E-2</v>
      </c>
      <c r="H93" s="3">
        <f t="shared" si="7"/>
        <v>1.6916995772878717E-2</v>
      </c>
      <c r="I93">
        <f t="shared" si="8"/>
        <v>14.823424407855574</v>
      </c>
      <c r="J93">
        <f t="shared" si="9"/>
        <v>11.903408200476271</v>
      </c>
      <c r="K93">
        <v>2.9320000000000001E-3</v>
      </c>
    </row>
    <row r="94" spans="1:11" ht="15" x14ac:dyDescent="0.25">
      <c r="A94" s="1" t="s">
        <v>5</v>
      </c>
      <c r="B94" s="1" t="s">
        <v>90</v>
      </c>
      <c r="C94" s="1">
        <v>34.799999999999997</v>
      </c>
      <c r="D94" s="1">
        <v>30.7</v>
      </c>
      <c r="E94" s="1">
        <v>15.04</v>
      </c>
      <c r="F94" s="5">
        <f t="shared" si="5"/>
        <v>45470.488900462966</v>
      </c>
      <c r="G94" s="3">
        <f t="shared" si="6"/>
        <v>5.564801241078525E-2</v>
      </c>
      <c r="H94" s="3">
        <f t="shared" si="7"/>
        <v>1.7083939810111071E-2</v>
      </c>
      <c r="I94">
        <f t="shared" si="8"/>
        <v>14.974737352727065</v>
      </c>
      <c r="J94">
        <f t="shared" si="9"/>
        <v>12.020876044559916</v>
      </c>
      <c r="K94">
        <v>2.9359999999999998E-3</v>
      </c>
    </row>
    <row r="95" spans="1:11" ht="15" x14ac:dyDescent="0.25">
      <c r="A95" s="1" t="s">
        <v>5</v>
      </c>
      <c r="B95" s="1" t="s">
        <v>91</v>
      </c>
      <c r="C95" s="1">
        <v>34.9</v>
      </c>
      <c r="D95" s="1">
        <v>31.2</v>
      </c>
      <c r="E95" s="1">
        <v>15.38</v>
      </c>
      <c r="F95" s="5">
        <f t="shared" si="5"/>
        <v>45470.489131944443</v>
      </c>
      <c r="G95" s="3">
        <f t="shared" si="6"/>
        <v>5.5957023431643702E-2</v>
      </c>
      <c r="H95" s="3">
        <f t="shared" si="7"/>
        <v>1.7458591310672834E-2</v>
      </c>
      <c r="I95">
        <f t="shared" si="8"/>
        <v>15.309593720717086</v>
      </c>
      <c r="J95">
        <f t="shared" si="9"/>
        <v>12.280506524315369</v>
      </c>
      <c r="K95">
        <v>2.9819999999999998E-3</v>
      </c>
    </row>
    <row r="96" spans="1:11" ht="15" x14ac:dyDescent="0.25">
      <c r="A96" s="1" t="s">
        <v>5</v>
      </c>
      <c r="B96" s="1" t="s">
        <v>92</v>
      </c>
      <c r="C96" s="1">
        <v>35</v>
      </c>
      <c r="D96" s="1">
        <v>31.7</v>
      </c>
      <c r="E96" s="1">
        <v>15.71</v>
      </c>
      <c r="F96" s="5">
        <f t="shared" si="5"/>
        <v>45470.489363425928</v>
      </c>
      <c r="G96" s="3">
        <f t="shared" si="6"/>
        <v>5.6267520636765454E-2</v>
      </c>
      <c r="H96" s="3">
        <f t="shared" si="7"/>
        <v>1.7836804041854649E-2</v>
      </c>
      <c r="I96">
        <f t="shared" si="8"/>
        <v>15.641232534655716</v>
      </c>
      <c r="J96">
        <f t="shared" si="9"/>
        <v>12.542472678830135</v>
      </c>
      <c r="K96">
        <v>3.542E-3</v>
      </c>
    </row>
    <row r="97" spans="1:11" ht="15" x14ac:dyDescent="0.25">
      <c r="A97" s="1" t="s">
        <v>5</v>
      </c>
      <c r="B97" s="1" t="s">
        <v>93</v>
      </c>
      <c r="C97" s="1">
        <v>35.1</v>
      </c>
      <c r="D97" s="1">
        <v>31.9</v>
      </c>
      <c r="E97" s="1">
        <v>15.9</v>
      </c>
      <c r="F97" s="5">
        <f t="shared" si="5"/>
        <v>45470.489594907405</v>
      </c>
      <c r="G97" s="3">
        <f t="shared" si="6"/>
        <v>5.6579509967365826E-2</v>
      </c>
      <c r="H97" s="3">
        <f t="shared" si="7"/>
        <v>1.8048863679589699E-2</v>
      </c>
      <c r="I97">
        <f t="shared" si="8"/>
        <v>15.824460862494991</v>
      </c>
      <c r="J97">
        <f t="shared" si="9"/>
        <v>12.687471338192271</v>
      </c>
      <c r="K97">
        <v>3.3999999999999998E-3</v>
      </c>
    </row>
    <row r="98" spans="1:11" ht="15" x14ac:dyDescent="0.25">
      <c r="A98" s="1" t="s">
        <v>5</v>
      </c>
      <c r="B98" s="1" t="s">
        <v>94</v>
      </c>
      <c r="C98" s="1">
        <v>35.1</v>
      </c>
      <c r="D98" s="1">
        <v>32.4</v>
      </c>
      <c r="E98" s="1">
        <v>16.14</v>
      </c>
      <c r="F98" s="5">
        <f t="shared" si="5"/>
        <v>45470.48982638889</v>
      </c>
      <c r="G98" s="3">
        <f t="shared" si="6"/>
        <v>5.6579509967365826E-2</v>
      </c>
      <c r="H98" s="3">
        <f t="shared" si="7"/>
        <v>1.8331761229426525E-2</v>
      </c>
      <c r="I98">
        <f t="shared" si="8"/>
        <v>16.065948013178282</v>
      </c>
      <c r="J98">
        <f t="shared" si="9"/>
        <v>12.886334525311272</v>
      </c>
      <c r="K98">
        <v>3.9300000000000003E-3</v>
      </c>
    </row>
    <row r="99" spans="1:11" ht="15" x14ac:dyDescent="0.25">
      <c r="A99" s="1" t="s">
        <v>5</v>
      </c>
      <c r="B99" s="1" t="s">
        <v>95</v>
      </c>
      <c r="C99" s="1">
        <v>35.200000000000003</v>
      </c>
      <c r="D99" s="1">
        <v>32.4</v>
      </c>
      <c r="E99" s="1">
        <v>16.23</v>
      </c>
      <c r="F99" s="5">
        <f t="shared" si="5"/>
        <v>45470.490057870367</v>
      </c>
      <c r="G99" s="3">
        <f t="shared" si="6"/>
        <v>5.6892997382904376E-2</v>
      </c>
      <c r="H99" s="3">
        <f t="shared" si="7"/>
        <v>1.8433331152061017E-2</v>
      </c>
      <c r="I99">
        <f t="shared" si="8"/>
        <v>16.151844889858932</v>
      </c>
      <c r="J99">
        <f t="shared" si="9"/>
        <v>12.953530948766744</v>
      </c>
      <c r="K99">
        <v>3.5829999999999998E-3</v>
      </c>
    </row>
    <row r="100" spans="1:11" ht="15" x14ac:dyDescent="0.25">
      <c r="A100" s="1" t="s">
        <v>5</v>
      </c>
      <c r="B100" s="1" t="s">
        <v>96</v>
      </c>
      <c r="C100" s="1">
        <v>35.200000000000003</v>
      </c>
      <c r="D100" s="1">
        <v>32.9</v>
      </c>
      <c r="E100" s="1">
        <v>16.47</v>
      </c>
      <c r="F100" s="5">
        <f t="shared" si="5"/>
        <v>45470.490289351852</v>
      </c>
      <c r="G100" s="3">
        <f t="shared" si="6"/>
        <v>5.6892997382904376E-2</v>
      </c>
      <c r="H100" s="3">
        <f t="shared" si="7"/>
        <v>1.8717796138975541E-2</v>
      </c>
      <c r="I100">
        <f t="shared" si="8"/>
        <v>16.390201529230517</v>
      </c>
      <c r="J100">
        <f t="shared" si="9"/>
        <v>13.153431117729193</v>
      </c>
      <c r="K100">
        <v>3.9230000000000003E-3</v>
      </c>
    </row>
    <row r="101" spans="1:11" ht="15" x14ac:dyDescent="0.25">
      <c r="A101" s="1" t="s">
        <v>5</v>
      </c>
      <c r="B101" s="1" t="s">
        <v>97</v>
      </c>
      <c r="C101" s="1">
        <v>35.200000000000003</v>
      </c>
      <c r="D101" s="1">
        <v>33.4</v>
      </c>
      <c r="E101" s="1">
        <v>16.7</v>
      </c>
      <c r="F101" s="5">
        <f t="shared" si="5"/>
        <v>45470.490520833337</v>
      </c>
      <c r="G101" s="3">
        <f t="shared" si="6"/>
        <v>5.6892997382904376E-2</v>
      </c>
      <c r="H101" s="3">
        <f t="shared" si="7"/>
        <v>1.9002261125890062E-2</v>
      </c>
      <c r="I101">
        <f t="shared" si="8"/>
        <v>16.625369672645725</v>
      </c>
      <c r="J101">
        <f t="shared" si="9"/>
        <v>13.353331286691642</v>
      </c>
      <c r="K101">
        <v>3.46E-3</v>
      </c>
    </row>
    <row r="102" spans="1:11" ht="15" x14ac:dyDescent="0.25">
      <c r="A102" s="1" t="s">
        <v>5</v>
      </c>
      <c r="B102" s="1" t="s">
        <v>98</v>
      </c>
      <c r="C102" s="1">
        <v>35.200000000000003</v>
      </c>
      <c r="D102" s="1">
        <v>33.6</v>
      </c>
      <c r="E102" s="1">
        <v>16.8</v>
      </c>
      <c r="F102" s="5">
        <f t="shared" si="5"/>
        <v>45470.490752314814</v>
      </c>
      <c r="G102" s="3">
        <f t="shared" si="6"/>
        <v>5.6892997382904376E-2</v>
      </c>
      <c r="H102" s="3">
        <f t="shared" si="7"/>
        <v>1.9116047120655871E-2</v>
      </c>
      <c r="I102">
        <f t="shared" si="8"/>
        <v>16.718564392191588</v>
      </c>
      <c r="J102">
        <f t="shared" si="9"/>
        <v>13.433291354276623</v>
      </c>
      <c r="K102">
        <v>3.754E-3</v>
      </c>
    </row>
    <row r="103" spans="1:11" ht="15" x14ac:dyDescent="0.25">
      <c r="A103" s="1" t="s">
        <v>5</v>
      </c>
      <c r="B103" s="1" t="s">
        <v>99</v>
      </c>
      <c r="C103" s="1">
        <v>35.1</v>
      </c>
      <c r="D103" s="1">
        <v>33.299999999999997</v>
      </c>
      <c r="E103" s="1">
        <v>16.57</v>
      </c>
      <c r="F103" s="5">
        <f t="shared" si="5"/>
        <v>45470.490983796299</v>
      </c>
      <c r="G103" s="3">
        <f t="shared" si="6"/>
        <v>5.6579509967365826E-2</v>
      </c>
      <c r="H103" s="3">
        <f t="shared" si="7"/>
        <v>1.8840976819132816E-2</v>
      </c>
      <c r="I103">
        <f t="shared" si="8"/>
        <v>16.492421460263632</v>
      </c>
      <c r="J103">
        <f t="shared" si="9"/>
        <v>13.244288262125472</v>
      </c>
      <c r="K103">
        <v>4.5110000000000003E-3</v>
      </c>
    </row>
    <row r="104" spans="1:11" ht="15" x14ac:dyDescent="0.25">
      <c r="A104" s="1" t="s">
        <v>5</v>
      </c>
      <c r="B104" s="1" t="s">
        <v>100</v>
      </c>
      <c r="C104" s="1">
        <v>35.1</v>
      </c>
      <c r="D104" s="1">
        <v>33.299999999999997</v>
      </c>
      <c r="E104" s="1">
        <v>16.57</v>
      </c>
      <c r="F104" s="5">
        <f t="shared" si="5"/>
        <v>45470.491215277776</v>
      </c>
      <c r="G104" s="3">
        <f t="shared" si="6"/>
        <v>5.6579509967365826E-2</v>
      </c>
      <c r="H104" s="3">
        <f t="shared" si="7"/>
        <v>1.8840976819132816E-2</v>
      </c>
      <c r="I104">
        <f t="shared" si="8"/>
        <v>16.492421460263632</v>
      </c>
      <c r="J104">
        <f t="shared" si="9"/>
        <v>13.244288262125472</v>
      </c>
      <c r="K104">
        <v>3.7039999999999998E-3</v>
      </c>
    </row>
    <row r="105" spans="1:11" ht="15" x14ac:dyDescent="0.25">
      <c r="A105" s="1" t="s">
        <v>5</v>
      </c>
      <c r="B105" s="1" t="s">
        <v>101</v>
      </c>
      <c r="C105" s="1">
        <v>35</v>
      </c>
      <c r="D105" s="1">
        <v>31.7</v>
      </c>
      <c r="E105" s="1">
        <v>15.71</v>
      </c>
      <c r="F105" s="5">
        <f t="shared" si="5"/>
        <v>45470.491446759261</v>
      </c>
      <c r="G105" s="3">
        <f t="shared" si="6"/>
        <v>5.6267520636765454E-2</v>
      </c>
      <c r="H105" s="3">
        <f t="shared" si="7"/>
        <v>1.7836804041854649E-2</v>
      </c>
      <c r="I105">
        <f t="shared" si="8"/>
        <v>15.641232534655716</v>
      </c>
      <c r="J105">
        <f t="shared" si="9"/>
        <v>12.542472678830135</v>
      </c>
      <c r="K105">
        <v>3.7420000000000001E-3</v>
      </c>
    </row>
    <row r="106" spans="1:11" ht="15" x14ac:dyDescent="0.25">
      <c r="A106" s="1" t="s">
        <v>5</v>
      </c>
      <c r="B106" s="1" t="s">
        <v>102</v>
      </c>
      <c r="C106" s="1">
        <v>34.9</v>
      </c>
      <c r="D106" s="1">
        <v>30</v>
      </c>
      <c r="E106" s="1">
        <v>14.77</v>
      </c>
      <c r="F106" s="5">
        <f t="shared" si="5"/>
        <v>45470.491678240738</v>
      </c>
      <c r="G106" s="3">
        <f t="shared" si="6"/>
        <v>5.5957023431643702E-2</v>
      </c>
      <c r="H106" s="3">
        <f t="shared" si="7"/>
        <v>1.6787107029493112E-2</v>
      </c>
      <c r="I106">
        <f t="shared" si="8"/>
        <v>14.704778605888427</v>
      </c>
      <c r="J106">
        <f t="shared" si="9"/>
        <v>11.80817935030324</v>
      </c>
      <c r="K106">
        <v>3.2060000000000001E-3</v>
      </c>
    </row>
    <row r="107" spans="1:11" ht="15" x14ac:dyDescent="0.25">
      <c r="A107" s="1" t="s">
        <v>5</v>
      </c>
      <c r="B107" s="1" t="s">
        <v>103</v>
      </c>
      <c r="C107" s="1">
        <v>34.9</v>
      </c>
      <c r="D107" s="1">
        <v>29.5</v>
      </c>
      <c r="E107" s="1">
        <v>14.51</v>
      </c>
      <c r="F107" s="5">
        <f t="shared" si="5"/>
        <v>45470.491909722223</v>
      </c>
      <c r="G107" s="3">
        <f t="shared" si="6"/>
        <v>5.5957023431643702E-2</v>
      </c>
      <c r="H107" s="3">
        <f t="shared" si="7"/>
        <v>1.650732191233489E-2</v>
      </c>
      <c r="I107">
        <f t="shared" si="8"/>
        <v>14.446420380087515</v>
      </c>
      <c r="J107">
        <f t="shared" si="9"/>
        <v>11.611376361131519</v>
      </c>
      <c r="K107">
        <v>2.5300000000000001E-3</v>
      </c>
    </row>
    <row r="108" spans="1:11" ht="15" x14ac:dyDescent="0.25">
      <c r="A108" s="1" t="s">
        <v>5</v>
      </c>
      <c r="B108" s="1" t="s">
        <v>104</v>
      </c>
      <c r="C108" s="1">
        <v>34.9</v>
      </c>
      <c r="D108" s="1">
        <v>27.9</v>
      </c>
      <c r="E108" s="1">
        <v>13.65</v>
      </c>
      <c r="F108" s="5">
        <f t="shared" si="5"/>
        <v>45470.4921412037</v>
      </c>
      <c r="G108" s="3">
        <f t="shared" si="6"/>
        <v>5.5957023431643702E-2</v>
      </c>
      <c r="H108" s="3">
        <f t="shared" si="7"/>
        <v>1.5612009537428593E-2</v>
      </c>
      <c r="I108">
        <f t="shared" si="8"/>
        <v>13.592731919938512</v>
      </c>
      <c r="J108">
        <f t="shared" si="9"/>
        <v>10.981606795782012</v>
      </c>
      <c r="K108">
        <v>3.2780000000000001E-3</v>
      </c>
    </row>
    <row r="109" spans="1:11" ht="15" x14ac:dyDescent="0.25">
      <c r="A109" s="1" t="s">
        <v>5</v>
      </c>
      <c r="B109" s="1" t="s">
        <v>105</v>
      </c>
      <c r="C109" s="1">
        <v>34.9</v>
      </c>
      <c r="D109" s="1">
        <v>26.6</v>
      </c>
      <c r="E109" s="1">
        <v>12.91</v>
      </c>
      <c r="F109" s="5">
        <f t="shared" si="5"/>
        <v>45470.492372685185</v>
      </c>
      <c r="G109" s="3">
        <f t="shared" si="6"/>
        <v>5.5957023431643702E-2</v>
      </c>
      <c r="H109" s="3">
        <f t="shared" si="7"/>
        <v>1.4884568232817226E-2</v>
      </c>
      <c r="I109">
        <f t="shared" si="8"/>
        <v>12.86650187697127</v>
      </c>
      <c r="J109">
        <f t="shared" si="9"/>
        <v>10.469919023935539</v>
      </c>
      <c r="K109">
        <v>3.0920000000000001E-3</v>
      </c>
    </row>
    <row r="110" spans="1:11" ht="15" x14ac:dyDescent="0.25">
      <c r="A110" s="1" t="s">
        <v>5</v>
      </c>
      <c r="B110" s="1" t="s">
        <v>106</v>
      </c>
      <c r="C110" s="1">
        <v>34.9</v>
      </c>
      <c r="D110" s="1">
        <v>26.4</v>
      </c>
      <c r="E110" s="1">
        <v>12.8</v>
      </c>
      <c r="F110" s="5">
        <f t="shared" si="5"/>
        <v>45470.492604166669</v>
      </c>
      <c r="G110" s="3">
        <f t="shared" si="6"/>
        <v>5.5957023431643702E-2</v>
      </c>
      <c r="H110" s="3">
        <f t="shared" si="7"/>
        <v>1.4772654185953938E-2</v>
      </c>
      <c r="I110">
        <f t="shared" si="8"/>
        <v>12.751990037666767</v>
      </c>
      <c r="J110">
        <f t="shared" si="9"/>
        <v>10.391197828266851</v>
      </c>
      <c r="K110">
        <v>3.4039999999999999E-3</v>
      </c>
    </row>
    <row r="111" spans="1:11" ht="15" x14ac:dyDescent="0.25">
      <c r="A111" s="1" t="s">
        <v>5</v>
      </c>
      <c r="B111" s="1" t="s">
        <v>107</v>
      </c>
      <c r="C111" s="1">
        <v>34.9</v>
      </c>
      <c r="D111" s="1">
        <v>26.6</v>
      </c>
      <c r="E111" s="1">
        <v>12.91</v>
      </c>
      <c r="F111" s="5">
        <f t="shared" si="5"/>
        <v>45470.492835648147</v>
      </c>
      <c r="G111" s="3">
        <f t="shared" si="6"/>
        <v>5.5957023431643702E-2</v>
      </c>
      <c r="H111" s="3">
        <f t="shared" si="7"/>
        <v>1.4884568232817226E-2</v>
      </c>
      <c r="I111">
        <f t="shared" si="8"/>
        <v>12.86650187697127</v>
      </c>
      <c r="J111">
        <f t="shared" si="9"/>
        <v>10.469919023935539</v>
      </c>
      <c r="K111">
        <v>2.7880000000000001E-3</v>
      </c>
    </row>
    <row r="112" spans="1:11" ht="15" x14ac:dyDescent="0.25">
      <c r="A112" s="1" t="s">
        <v>5</v>
      </c>
      <c r="B112" s="1" t="s">
        <v>108</v>
      </c>
      <c r="C112" s="1">
        <v>34.9</v>
      </c>
      <c r="D112" s="1">
        <v>27.1</v>
      </c>
      <c r="E112" s="1">
        <v>13.2</v>
      </c>
      <c r="F112" s="5">
        <f t="shared" si="5"/>
        <v>45470.493067129632</v>
      </c>
      <c r="G112" s="3">
        <f t="shared" si="6"/>
        <v>5.5957023431643702E-2</v>
      </c>
      <c r="H112" s="3">
        <f t="shared" si="7"/>
        <v>1.5164353349975443E-2</v>
      </c>
      <c r="I112">
        <f t="shared" si="8"/>
        <v>13.149472667257513</v>
      </c>
      <c r="J112">
        <f t="shared" si="9"/>
        <v>10.666722013107259</v>
      </c>
      <c r="K112">
        <v>4.1000000000000003E-3</v>
      </c>
    </row>
    <row r="113" spans="1:11" ht="15" x14ac:dyDescent="0.25">
      <c r="A113" s="1" t="s">
        <v>5</v>
      </c>
      <c r="B113" s="1" t="s">
        <v>109</v>
      </c>
      <c r="C113" s="1">
        <v>35</v>
      </c>
      <c r="D113" s="1">
        <v>29</v>
      </c>
      <c r="E113" s="1">
        <v>14.33</v>
      </c>
      <c r="F113" s="5">
        <f t="shared" si="5"/>
        <v>45470.493298611109</v>
      </c>
      <c r="G113" s="3">
        <f t="shared" si="6"/>
        <v>5.6267520636765454E-2</v>
      </c>
      <c r="H113" s="3">
        <f t="shared" si="7"/>
        <v>1.6317580984661982E-2</v>
      </c>
      <c r="I113">
        <f t="shared" si="8"/>
        <v>14.268991351965207</v>
      </c>
      <c r="J113">
        <f t="shared" si="9"/>
        <v>11.474186362336718</v>
      </c>
      <c r="K113">
        <v>3.4680000000000002E-3</v>
      </c>
    </row>
    <row r="114" spans="1:11" ht="15" x14ac:dyDescent="0.25">
      <c r="A114" s="1" t="s">
        <v>5</v>
      </c>
      <c r="B114" s="1" t="s">
        <v>110</v>
      </c>
      <c r="C114" s="1">
        <v>35.1</v>
      </c>
      <c r="D114" s="1">
        <v>30.9</v>
      </c>
      <c r="E114" s="1">
        <v>15.4</v>
      </c>
      <c r="F114" s="5">
        <f t="shared" si="5"/>
        <v>45470.493530092594</v>
      </c>
      <c r="G114" s="3">
        <f t="shared" si="6"/>
        <v>5.6579509967365826E-2</v>
      </c>
      <c r="H114" s="3">
        <f t="shared" si="7"/>
        <v>1.748306857991604E-2</v>
      </c>
      <c r="I114">
        <f t="shared" si="8"/>
        <v>15.331248628343507</v>
      </c>
      <c r="J114">
        <f t="shared" si="9"/>
        <v>12.289744963954268</v>
      </c>
      <c r="K114">
        <v>3.5569999999999998E-3</v>
      </c>
    </row>
    <row r="115" spans="1:11" ht="15" x14ac:dyDescent="0.25">
      <c r="A115" s="1" t="s">
        <v>5</v>
      </c>
      <c r="B115" s="1" t="s">
        <v>111</v>
      </c>
      <c r="C115" s="1">
        <v>35.1</v>
      </c>
      <c r="D115" s="1">
        <v>31.5</v>
      </c>
      <c r="E115" s="1">
        <v>15.7</v>
      </c>
      <c r="F115" s="5">
        <f t="shared" si="5"/>
        <v>45470.493761574071</v>
      </c>
      <c r="G115" s="3">
        <f t="shared" si="6"/>
        <v>5.6579509967365826E-2</v>
      </c>
      <c r="H115" s="3">
        <f t="shared" si="7"/>
        <v>1.7822545639720234E-2</v>
      </c>
      <c r="I115">
        <f t="shared" si="8"/>
        <v>15.628843521950072</v>
      </c>
      <c r="J115">
        <f t="shared" si="9"/>
        <v>12.528380788497069</v>
      </c>
      <c r="K115">
        <v>3.5990000000000002E-3</v>
      </c>
    </row>
    <row r="116" spans="1:11" ht="15" x14ac:dyDescent="0.25">
      <c r="A116" s="1" t="s">
        <v>5</v>
      </c>
      <c r="B116" s="1" t="s">
        <v>112</v>
      </c>
      <c r="C116" s="1">
        <v>35.200000000000003</v>
      </c>
      <c r="D116" s="1">
        <v>32.1</v>
      </c>
      <c r="E116" s="1">
        <v>16.079999999999998</v>
      </c>
      <c r="F116" s="5">
        <f t="shared" si="5"/>
        <v>45470.493993055556</v>
      </c>
      <c r="G116" s="3">
        <f t="shared" si="6"/>
        <v>5.6892997382904376E-2</v>
      </c>
      <c r="H116" s="3">
        <f t="shared" si="7"/>
        <v>1.8262652159912306E-2</v>
      </c>
      <c r="I116">
        <f t="shared" si="8"/>
        <v>16.007261574140543</v>
      </c>
      <c r="J116">
        <f t="shared" si="9"/>
        <v>12.833590847389274</v>
      </c>
      <c r="K116">
        <v>4.1349999999999998E-3</v>
      </c>
    </row>
    <row r="117" spans="1:11" ht="15" x14ac:dyDescent="0.25">
      <c r="A117" s="1" t="s">
        <v>5</v>
      </c>
      <c r="B117" s="1" t="s">
        <v>113</v>
      </c>
      <c r="C117" s="1">
        <v>35.200000000000003</v>
      </c>
      <c r="D117" s="1">
        <v>31</v>
      </c>
      <c r="E117" s="1">
        <v>15.53</v>
      </c>
      <c r="F117" s="5">
        <f t="shared" si="5"/>
        <v>45470.49422453704</v>
      </c>
      <c r="G117" s="3">
        <f t="shared" si="6"/>
        <v>5.6892997382904376E-2</v>
      </c>
      <c r="H117" s="3">
        <f t="shared" si="7"/>
        <v>1.7636829188700357E-2</v>
      </c>
      <c r="I117">
        <f t="shared" si="8"/>
        <v>15.466668302261503</v>
      </c>
      <c r="J117">
        <f t="shared" si="9"/>
        <v>12.393810475671884</v>
      </c>
      <c r="K117">
        <v>3.4169999999999999E-3</v>
      </c>
    </row>
    <row r="118" spans="1:11" ht="15" x14ac:dyDescent="0.25">
      <c r="A118" s="1" t="s">
        <v>5</v>
      </c>
      <c r="B118" s="1" t="s">
        <v>114</v>
      </c>
      <c r="C118" s="1">
        <v>35.200000000000003</v>
      </c>
      <c r="D118" s="1">
        <v>30.4</v>
      </c>
      <c r="E118" s="1">
        <v>15.23</v>
      </c>
      <c r="F118" s="5">
        <f t="shared" si="5"/>
        <v>45470.494456018518</v>
      </c>
      <c r="G118" s="3">
        <f t="shared" si="6"/>
        <v>5.6892997382904376E-2</v>
      </c>
      <c r="H118" s="3">
        <f t="shared" si="7"/>
        <v>1.7295471204402932E-2</v>
      </c>
      <c r="I118">
        <f t="shared" si="8"/>
        <v>15.164590976995813</v>
      </c>
      <c r="J118">
        <f t="shared" si="9"/>
        <v>12.153930272916945</v>
      </c>
      <c r="K118">
        <v>3.7269999999999998E-3</v>
      </c>
    </row>
    <row r="119" spans="1:11" ht="15" x14ac:dyDescent="0.25">
      <c r="A119" s="1" t="s">
        <v>5</v>
      </c>
      <c r="B119" s="1" t="s">
        <v>115</v>
      </c>
      <c r="C119" s="1">
        <v>35.200000000000003</v>
      </c>
      <c r="D119" s="1">
        <v>30.2</v>
      </c>
      <c r="E119" s="1">
        <v>15.13</v>
      </c>
      <c r="F119" s="5">
        <f t="shared" si="5"/>
        <v>45470.494687500002</v>
      </c>
      <c r="G119" s="3">
        <f t="shared" si="6"/>
        <v>5.6892997382904376E-2</v>
      </c>
      <c r="H119" s="3">
        <f t="shared" si="7"/>
        <v>1.7181685209637122E-2</v>
      </c>
      <c r="I119">
        <f t="shared" si="8"/>
        <v>15.062723309349813</v>
      </c>
      <c r="J119">
        <f t="shared" si="9"/>
        <v>12.073970205331966</v>
      </c>
      <c r="K119">
        <v>3.9020000000000001E-3</v>
      </c>
    </row>
    <row r="120" spans="1:11" ht="15" x14ac:dyDescent="0.25">
      <c r="A120" s="1" t="s">
        <v>5</v>
      </c>
      <c r="B120" s="1" t="s">
        <v>116</v>
      </c>
      <c r="C120" s="1">
        <v>35.1</v>
      </c>
      <c r="D120" s="1">
        <v>29</v>
      </c>
      <c r="E120" s="1">
        <v>14.41</v>
      </c>
      <c r="F120" s="5">
        <f t="shared" si="5"/>
        <v>45470.49491898148</v>
      </c>
      <c r="G120" s="3">
        <f t="shared" si="6"/>
        <v>5.6579509967365826E-2</v>
      </c>
      <c r="H120" s="3">
        <f t="shared" si="7"/>
        <v>1.640805789053609E-2</v>
      </c>
      <c r="I120">
        <f t="shared" si="8"/>
        <v>14.353824363457344</v>
      </c>
      <c r="J120">
        <f t="shared" si="9"/>
        <v>11.534064852902064</v>
      </c>
      <c r="K120">
        <v>2.9030000000000002E-3</v>
      </c>
    </row>
    <row r="121" spans="1:11" ht="15" x14ac:dyDescent="0.25">
      <c r="A121" s="1" t="s">
        <v>5</v>
      </c>
      <c r="B121" s="1" t="s">
        <v>117</v>
      </c>
      <c r="C121" s="1">
        <v>35.1</v>
      </c>
      <c r="D121" s="1">
        <v>28.5</v>
      </c>
      <c r="E121" s="1">
        <v>14.14</v>
      </c>
      <c r="F121" s="5">
        <f t="shared" si="5"/>
        <v>45470.495150462964</v>
      </c>
      <c r="G121" s="3">
        <f t="shared" si="6"/>
        <v>5.6579509967365826E-2</v>
      </c>
      <c r="H121" s="3">
        <f t="shared" si="7"/>
        <v>1.612516034069926E-2</v>
      </c>
      <c r="I121">
        <f t="shared" si="8"/>
        <v>14.087177640101217</v>
      </c>
      <c r="J121">
        <f t="shared" si="9"/>
        <v>11.335201665783064</v>
      </c>
      <c r="K121">
        <v>3.274E-3</v>
      </c>
    </row>
    <row r="122" spans="1:11" ht="15" x14ac:dyDescent="0.25">
      <c r="A122" s="1" t="s">
        <v>5</v>
      </c>
      <c r="B122" s="1" t="s">
        <v>118</v>
      </c>
      <c r="C122" s="1">
        <v>35.1</v>
      </c>
      <c r="D122" s="1">
        <v>27.6</v>
      </c>
      <c r="E122" s="1">
        <v>13.65</v>
      </c>
      <c r="F122" s="5">
        <f t="shared" si="5"/>
        <v>45470.495381944442</v>
      </c>
      <c r="G122" s="3">
        <f t="shared" si="6"/>
        <v>5.6579509967365826E-2</v>
      </c>
      <c r="H122" s="3">
        <f t="shared" si="7"/>
        <v>1.5615944750992969E-2</v>
      </c>
      <c r="I122">
        <f t="shared" si="8"/>
        <v>13.596578213786088</v>
      </c>
      <c r="J122">
        <f t="shared" si="9"/>
        <v>10.977247928968863</v>
      </c>
      <c r="K122">
        <v>4.3350000000000003E-3</v>
      </c>
    </row>
    <row r="123" spans="1:11" ht="15" x14ac:dyDescent="0.25">
      <c r="A123" s="1" t="s">
        <v>5</v>
      </c>
      <c r="B123" s="1" t="s">
        <v>119</v>
      </c>
      <c r="C123" s="1">
        <v>35.1</v>
      </c>
      <c r="D123" s="1">
        <v>28.3</v>
      </c>
      <c r="E123" s="1">
        <v>14.04</v>
      </c>
      <c r="F123" s="5">
        <f t="shared" si="5"/>
        <v>45470.495613425926</v>
      </c>
      <c r="G123" s="3">
        <f t="shared" si="6"/>
        <v>5.6579509967365826E-2</v>
      </c>
      <c r="H123" s="3">
        <f t="shared" si="7"/>
        <v>1.6012001320764527E-2</v>
      </c>
      <c r="I123">
        <f t="shared" si="8"/>
        <v>13.979355693476588</v>
      </c>
      <c r="J123">
        <f t="shared" si="9"/>
        <v>11.255656390935462</v>
      </c>
      <c r="K123">
        <v>3.591E-3</v>
      </c>
    </row>
    <row r="124" spans="1:11" ht="15" x14ac:dyDescent="0.25">
      <c r="A124" s="1" t="s">
        <v>5</v>
      </c>
      <c r="B124" s="1" t="s">
        <v>120</v>
      </c>
      <c r="C124" s="1">
        <v>35.1</v>
      </c>
      <c r="D124" s="1">
        <v>28.1</v>
      </c>
      <c r="E124" s="1">
        <v>13.93</v>
      </c>
      <c r="F124" s="5">
        <f t="shared" si="5"/>
        <v>45470.495844907404</v>
      </c>
      <c r="G124" s="3">
        <f t="shared" si="6"/>
        <v>5.6579509967365826E-2</v>
      </c>
      <c r="H124" s="3">
        <f t="shared" si="7"/>
        <v>1.5898842300829798E-2</v>
      </c>
      <c r="I124">
        <f t="shared" si="8"/>
        <v>13.870855650990913</v>
      </c>
      <c r="J124">
        <f t="shared" si="9"/>
        <v>11.176111116087865</v>
      </c>
      <c r="K124">
        <v>2.7910000000000001E-3</v>
      </c>
    </row>
    <row r="125" spans="1:11" ht="15" x14ac:dyDescent="0.25">
      <c r="A125" s="1" t="s">
        <v>5</v>
      </c>
      <c r="B125" s="1" t="s">
        <v>121</v>
      </c>
      <c r="C125" s="1">
        <v>35.1</v>
      </c>
      <c r="D125" s="1">
        <v>28.8</v>
      </c>
      <c r="E125" s="1">
        <v>14.31</v>
      </c>
      <c r="F125" s="5">
        <f t="shared" si="5"/>
        <v>45470.496076388888</v>
      </c>
      <c r="G125" s="3">
        <f t="shared" si="6"/>
        <v>5.6579509967365826E-2</v>
      </c>
      <c r="H125" s="3">
        <f t="shared" si="7"/>
        <v>1.6294898870601357E-2</v>
      </c>
      <c r="I125">
        <f t="shared" si="8"/>
        <v>14.247658737399227</v>
      </c>
      <c r="J125">
        <f t="shared" si="9"/>
        <v>11.454519578054466</v>
      </c>
      <c r="K125">
        <v>3.9399999999999999E-3</v>
      </c>
    </row>
    <row r="126" spans="1:11" ht="15" x14ac:dyDescent="0.25">
      <c r="A126" s="1" t="s">
        <v>5</v>
      </c>
      <c r="B126" s="1" t="s">
        <v>122</v>
      </c>
      <c r="C126" s="1">
        <v>35.1</v>
      </c>
      <c r="D126" s="1">
        <v>28.6</v>
      </c>
      <c r="E126" s="1">
        <v>14.2</v>
      </c>
      <c r="F126" s="5">
        <f t="shared" si="5"/>
        <v>45470.496307870373</v>
      </c>
      <c r="G126" s="3">
        <f t="shared" si="6"/>
        <v>5.6579509967365826E-2</v>
      </c>
      <c r="H126" s="3">
        <f t="shared" si="7"/>
        <v>1.6181739850666628E-2</v>
      </c>
      <c r="I126">
        <f t="shared" si="8"/>
        <v>14.140837142686424</v>
      </c>
      <c r="J126">
        <f t="shared" si="9"/>
        <v>11.374974303206866</v>
      </c>
      <c r="K126">
        <v>3.2529999999999998E-3</v>
      </c>
    </row>
    <row r="127" spans="1:11" ht="15" x14ac:dyDescent="0.25">
      <c r="A127" s="1" t="s">
        <v>5</v>
      </c>
      <c r="B127" s="1" t="s">
        <v>123</v>
      </c>
      <c r="C127" s="1">
        <v>35.1</v>
      </c>
      <c r="D127" s="1">
        <v>30</v>
      </c>
      <c r="E127" s="1">
        <v>14.94</v>
      </c>
      <c r="F127" s="5">
        <f t="shared" si="5"/>
        <v>45470.496539351851</v>
      </c>
      <c r="G127" s="3">
        <f t="shared" si="6"/>
        <v>5.6579509967365826E-2</v>
      </c>
      <c r="H127" s="3">
        <f t="shared" si="7"/>
        <v>1.6973852990209749E-2</v>
      </c>
      <c r="I127">
        <f t="shared" si="8"/>
        <v>14.875106141296047</v>
      </c>
      <c r="J127">
        <f t="shared" si="9"/>
        <v>11.931791227140069</v>
      </c>
      <c r="K127">
        <v>3.5750000000000001E-3</v>
      </c>
    </row>
    <row r="128" spans="1:11" ht="15" x14ac:dyDescent="0.25">
      <c r="A128" s="1" t="s">
        <v>5</v>
      </c>
      <c r="B128" s="1" t="s">
        <v>124</v>
      </c>
      <c r="C128" s="1">
        <v>35.200000000000003</v>
      </c>
      <c r="D128" s="1">
        <v>30.4</v>
      </c>
      <c r="E128" s="1">
        <v>15.23</v>
      </c>
      <c r="F128" s="5">
        <f t="shared" si="5"/>
        <v>45470.496770833335</v>
      </c>
      <c r="G128" s="3">
        <f t="shared" si="6"/>
        <v>5.6892997382904376E-2</v>
      </c>
      <c r="H128" s="3">
        <f t="shared" si="7"/>
        <v>1.7295471204402932E-2</v>
      </c>
      <c r="I128">
        <f t="shared" si="8"/>
        <v>15.164590976995813</v>
      </c>
      <c r="J128">
        <f t="shared" si="9"/>
        <v>12.153930272916945</v>
      </c>
      <c r="K128">
        <v>2.9989999999999999E-3</v>
      </c>
    </row>
    <row r="129" spans="1:11" ht="15" x14ac:dyDescent="0.25">
      <c r="A129" s="1" t="s">
        <v>5</v>
      </c>
      <c r="B129" s="1" t="s">
        <v>125</v>
      </c>
      <c r="C129" s="1">
        <v>35.200000000000003</v>
      </c>
      <c r="D129" s="1">
        <v>30</v>
      </c>
      <c r="E129" s="1">
        <v>15.02</v>
      </c>
      <c r="F129" s="5">
        <f t="shared" si="5"/>
        <v>45470.497002314813</v>
      </c>
      <c r="G129" s="3">
        <f t="shared" si="6"/>
        <v>5.6892997382904376E-2</v>
      </c>
      <c r="H129" s="3">
        <f t="shared" si="7"/>
        <v>1.7067899214871313E-2</v>
      </c>
      <c r="I129">
        <f t="shared" si="8"/>
        <v>14.960255723783799</v>
      </c>
      <c r="J129">
        <f t="shared" si="9"/>
        <v>11.994010137746985</v>
      </c>
      <c r="K129">
        <v>3.9870000000000001E-3</v>
      </c>
    </row>
    <row r="130" spans="1:11" ht="15" x14ac:dyDescent="0.25">
      <c r="A130" s="1" t="s">
        <v>5</v>
      </c>
      <c r="B130" s="1" t="s">
        <v>126</v>
      </c>
      <c r="C130" s="1">
        <v>35.299999999999997</v>
      </c>
      <c r="D130" s="1">
        <v>29.7</v>
      </c>
      <c r="E130" s="1">
        <v>14.95</v>
      </c>
      <c r="F130" s="5">
        <f t="shared" si="5"/>
        <v>45470.497233796297</v>
      </c>
      <c r="G130" s="3">
        <f t="shared" si="6"/>
        <v>5.7207988861119281E-2</v>
      </c>
      <c r="H130" s="3">
        <f t="shared" si="7"/>
        <v>1.6990772691752427E-2</v>
      </c>
      <c r="I130">
        <f t="shared" si="8"/>
        <v>14.890456072691547</v>
      </c>
      <c r="J130">
        <f t="shared" si="9"/>
        <v>11.935940627720033</v>
      </c>
      <c r="K130">
        <v>4.0889999999999998E-3</v>
      </c>
    </row>
    <row r="131" spans="1:11" ht="15" x14ac:dyDescent="0.25">
      <c r="A131" s="1" t="s">
        <v>5</v>
      </c>
      <c r="B131" s="1" t="s">
        <v>127</v>
      </c>
      <c r="C131" s="1">
        <v>35.299999999999997</v>
      </c>
      <c r="D131" s="1">
        <v>29.1</v>
      </c>
      <c r="E131" s="1">
        <v>14.64</v>
      </c>
      <c r="F131" s="5">
        <f t="shared" si="5"/>
        <v>45470.497465277775</v>
      </c>
      <c r="G131" s="3">
        <f t="shared" si="6"/>
        <v>5.7207988861119281E-2</v>
      </c>
      <c r="H131" s="3">
        <f t="shared" si="7"/>
        <v>1.6647524758585712E-2</v>
      </c>
      <c r="I131">
        <f t="shared" si="8"/>
        <v>14.5763673721054</v>
      </c>
      <c r="J131">
        <f t="shared" si="9"/>
        <v>11.694810514028719</v>
      </c>
      <c r="K131">
        <v>3.6809999999999998E-3</v>
      </c>
    </row>
    <row r="132" spans="1:11" ht="15" x14ac:dyDescent="0.25">
      <c r="A132" s="1" t="s">
        <v>5</v>
      </c>
      <c r="B132" s="1" t="s">
        <v>128</v>
      </c>
      <c r="C132" s="1">
        <v>35.299999999999997</v>
      </c>
      <c r="D132" s="1">
        <v>28.8</v>
      </c>
      <c r="E132" s="1">
        <v>14.48</v>
      </c>
      <c r="F132" s="5">
        <f t="shared" si="5"/>
        <v>45470.497696759259</v>
      </c>
      <c r="G132" s="3">
        <f t="shared" si="6"/>
        <v>5.7207988861119281E-2</v>
      </c>
      <c r="H132" s="3">
        <f t="shared" si="7"/>
        <v>1.6475900792002354E-2</v>
      </c>
      <c r="I132">
        <f t="shared" si="8"/>
        <v>14.417163500128165</v>
      </c>
      <c r="J132">
        <f t="shared" si="9"/>
        <v>11.574245457183062</v>
      </c>
      <c r="K132">
        <v>3.186E-3</v>
      </c>
    </row>
    <row r="133" spans="1:11" ht="15" x14ac:dyDescent="0.25">
      <c r="A133" s="1" t="s">
        <v>5</v>
      </c>
      <c r="B133" s="1" t="s">
        <v>129</v>
      </c>
      <c r="C133" s="1">
        <v>35.299999999999997</v>
      </c>
      <c r="D133" s="1">
        <v>29</v>
      </c>
      <c r="E133" s="1">
        <v>14.58</v>
      </c>
      <c r="F133" s="5">
        <f t="shared" si="5"/>
        <v>45470.497928240744</v>
      </c>
      <c r="G133" s="3">
        <f t="shared" si="6"/>
        <v>5.7207988861119281E-2</v>
      </c>
      <c r="H133" s="3">
        <f t="shared" si="7"/>
        <v>1.659031676972459E-2</v>
      </c>
      <c r="I133">
        <f t="shared" si="8"/>
        <v>14.52346181256944</v>
      </c>
      <c r="J133">
        <f t="shared" si="9"/>
        <v>11.654622161746834</v>
      </c>
      <c r="K133">
        <v>4.1980000000000003E-3</v>
      </c>
    </row>
    <row r="134" spans="1:11" ht="15" x14ac:dyDescent="0.25">
      <c r="A134" s="1" t="s">
        <v>5</v>
      </c>
      <c r="B134" s="1" t="s">
        <v>130</v>
      </c>
      <c r="C134" s="1">
        <v>35.299999999999997</v>
      </c>
      <c r="D134" s="1">
        <v>28.8</v>
      </c>
      <c r="E134" s="1">
        <v>14.48</v>
      </c>
      <c r="F134" s="5">
        <f t="shared" si="5"/>
        <v>45470.498159722221</v>
      </c>
      <c r="G134" s="3">
        <f t="shared" si="6"/>
        <v>5.7207988861119281E-2</v>
      </c>
      <c r="H134" s="3">
        <f t="shared" si="7"/>
        <v>1.6475900792002354E-2</v>
      </c>
      <c r="I134">
        <f t="shared" si="8"/>
        <v>14.417163500128165</v>
      </c>
      <c r="J134">
        <f t="shared" si="9"/>
        <v>11.574245457183062</v>
      </c>
      <c r="K134">
        <v>3.718E-3</v>
      </c>
    </row>
    <row r="135" spans="1:11" ht="15" x14ac:dyDescent="0.25">
      <c r="A135" s="1" t="s">
        <v>5</v>
      </c>
      <c r="B135" s="1" t="s">
        <v>131</v>
      </c>
      <c r="C135" s="1">
        <v>35.299999999999997</v>
      </c>
      <c r="D135" s="1">
        <v>28.6</v>
      </c>
      <c r="E135" s="1">
        <v>14.37</v>
      </c>
      <c r="F135" s="5">
        <f t="shared" si="5"/>
        <v>45470.498391203706</v>
      </c>
      <c r="G135" s="3">
        <f t="shared" si="6"/>
        <v>5.7207988861119281E-2</v>
      </c>
      <c r="H135" s="3">
        <f t="shared" si="7"/>
        <v>1.6361484814280115E-2</v>
      </c>
      <c r="I135">
        <f t="shared" si="8"/>
        <v>14.310208451626158</v>
      </c>
      <c r="J135">
        <f t="shared" si="9"/>
        <v>11.49386875261929</v>
      </c>
      <c r="K135">
        <v>3.777E-3</v>
      </c>
    </row>
    <row r="136" spans="1:11" ht="15" x14ac:dyDescent="0.25">
      <c r="A136" s="1" t="s">
        <v>5</v>
      </c>
      <c r="B136" s="1" t="s">
        <v>132</v>
      </c>
      <c r="C136" s="1">
        <v>35.299999999999997</v>
      </c>
      <c r="D136" s="1">
        <v>27.9</v>
      </c>
      <c r="E136" s="1">
        <v>13.99</v>
      </c>
      <c r="F136" s="5">
        <f t="shared" si="5"/>
        <v>45470.498622685183</v>
      </c>
      <c r="G136" s="3">
        <f t="shared" si="6"/>
        <v>5.7207988861119281E-2</v>
      </c>
      <c r="H136" s="3">
        <f t="shared" si="7"/>
        <v>1.5961028892252278E-2</v>
      </c>
      <c r="I136">
        <f t="shared" si="8"/>
        <v>13.930566373240737</v>
      </c>
      <c r="J136">
        <f t="shared" si="9"/>
        <v>11.21255028664609</v>
      </c>
      <c r="K136">
        <v>3.5839999999999999E-3</v>
      </c>
    </row>
    <row r="137" spans="1:11" ht="15" x14ac:dyDescent="0.25">
      <c r="A137" s="1" t="s">
        <v>5</v>
      </c>
      <c r="B137" s="1" t="s">
        <v>133</v>
      </c>
      <c r="C137" s="1">
        <v>35.299999999999997</v>
      </c>
      <c r="D137" s="1">
        <v>29.7</v>
      </c>
      <c r="E137" s="1">
        <v>14.95</v>
      </c>
      <c r="F137" s="5">
        <f t="shared" si="5"/>
        <v>45470.498854166668</v>
      </c>
      <c r="G137" s="3">
        <f t="shared" si="6"/>
        <v>5.7207988861119281E-2</v>
      </c>
      <c r="H137" s="3">
        <f t="shared" si="7"/>
        <v>1.6990772691752427E-2</v>
      </c>
      <c r="I137">
        <f t="shared" si="8"/>
        <v>14.890456072691547</v>
      </c>
      <c r="J137">
        <f t="shared" si="9"/>
        <v>11.935940627720033</v>
      </c>
      <c r="K137">
        <v>3.2070000000000002E-3</v>
      </c>
    </row>
    <row r="138" spans="1:11" ht="15" x14ac:dyDescent="0.25">
      <c r="A138" s="1" t="s">
        <v>5</v>
      </c>
      <c r="B138" s="1" t="s">
        <v>134</v>
      </c>
      <c r="C138" s="1">
        <v>35.299999999999997</v>
      </c>
      <c r="D138" s="1">
        <v>29.3</v>
      </c>
      <c r="E138" s="1">
        <v>14.74</v>
      </c>
      <c r="F138" s="5">
        <f t="shared" ref="F138:F201" si="10">A138+B138</f>
        <v>45470.499085648145</v>
      </c>
      <c r="G138" s="3">
        <f t="shared" ref="G138:G201" si="11">$B$2*EXP(($B$3-C138/$B$5)*(C138/($B$4+C138)))</f>
        <v>5.7207988861119281E-2</v>
      </c>
      <c r="H138" s="3">
        <f t="shared" ref="H138:H201" si="12">D138*G138/100</f>
        <v>1.6761940736307948E-2</v>
      </c>
      <c r="I138">
        <f t="shared" ref="I138:I201" si="13">$B$4*LN(H138/$B$2)/($B$3-LN(H138/$B$2))</f>
        <v>14.681696563464151</v>
      </c>
      <c r="J138">
        <f t="shared" ref="J138:J201" si="14">1000*H138*100000/($B$6*(C138+273.15))</f>
        <v>11.775187218592491</v>
      </c>
      <c r="K138">
        <v>2.9429999999999999E-3</v>
      </c>
    </row>
    <row r="139" spans="1:11" ht="15" x14ac:dyDescent="0.25">
      <c r="A139" s="1" t="s">
        <v>5</v>
      </c>
      <c r="B139" s="1" t="s">
        <v>135</v>
      </c>
      <c r="C139" s="1">
        <v>35.299999999999997</v>
      </c>
      <c r="D139" s="1">
        <v>30.7</v>
      </c>
      <c r="E139" s="1">
        <v>15.47</v>
      </c>
      <c r="F139" s="5">
        <f t="shared" si="10"/>
        <v>45470.49931712963</v>
      </c>
      <c r="G139" s="3">
        <f t="shared" si="11"/>
        <v>5.7207988861119281E-2</v>
      </c>
      <c r="H139" s="3">
        <f t="shared" si="12"/>
        <v>1.7562852580363619E-2</v>
      </c>
      <c r="I139">
        <f t="shared" si="13"/>
        <v>15.401647001350147</v>
      </c>
      <c r="J139">
        <f t="shared" si="14"/>
        <v>12.337824150538889</v>
      </c>
      <c r="K139">
        <v>3.8709999999999999E-3</v>
      </c>
    </row>
    <row r="140" spans="1:11" ht="15" x14ac:dyDescent="0.25">
      <c r="A140" s="1" t="s">
        <v>5</v>
      </c>
      <c r="B140" s="1" t="s">
        <v>136</v>
      </c>
      <c r="C140" s="1">
        <v>35.299999999999997</v>
      </c>
      <c r="D140" s="1">
        <v>30.2</v>
      </c>
      <c r="E140" s="1">
        <v>15.21</v>
      </c>
      <c r="F140" s="5">
        <f t="shared" si="10"/>
        <v>45470.499548611115</v>
      </c>
      <c r="G140" s="3">
        <f t="shared" si="11"/>
        <v>5.7207988861119281E-2</v>
      </c>
      <c r="H140" s="3">
        <f t="shared" si="12"/>
        <v>1.7276812636058025E-2</v>
      </c>
      <c r="I140">
        <f t="shared" si="13"/>
        <v>15.147927576791478</v>
      </c>
      <c r="J140">
        <f t="shared" si="14"/>
        <v>12.136882389129465</v>
      </c>
      <c r="K140">
        <v>4.1089999999999998E-3</v>
      </c>
    </row>
    <row r="141" spans="1:11" ht="15" x14ac:dyDescent="0.25">
      <c r="A141" s="1" t="s">
        <v>5</v>
      </c>
      <c r="B141" s="1" t="s">
        <v>137</v>
      </c>
      <c r="C141" s="1">
        <v>35.299999999999997</v>
      </c>
      <c r="D141" s="1">
        <v>30.5</v>
      </c>
      <c r="E141" s="1">
        <v>15.37</v>
      </c>
      <c r="F141" s="5">
        <f t="shared" si="10"/>
        <v>45470.499780092592</v>
      </c>
      <c r="G141" s="3">
        <f t="shared" si="11"/>
        <v>5.7207988861119281E-2</v>
      </c>
      <c r="H141" s="3">
        <f t="shared" si="12"/>
        <v>1.7448436602641382E-2</v>
      </c>
      <c r="I141">
        <f t="shared" si="13"/>
        <v>15.300602005140838</v>
      </c>
      <c r="J141">
        <f t="shared" si="14"/>
        <v>12.257447445975121</v>
      </c>
      <c r="K141">
        <v>3.784E-3</v>
      </c>
    </row>
    <row r="142" spans="1:11" ht="15" x14ac:dyDescent="0.25">
      <c r="A142" s="1" t="s">
        <v>5</v>
      </c>
      <c r="B142" s="1" t="s">
        <v>138</v>
      </c>
      <c r="C142" s="1">
        <v>35.299999999999997</v>
      </c>
      <c r="D142" s="1">
        <v>31.5</v>
      </c>
      <c r="E142" s="1">
        <v>15.87</v>
      </c>
      <c r="F142" s="5">
        <f t="shared" si="10"/>
        <v>45470.500011574077</v>
      </c>
      <c r="G142" s="3">
        <f t="shared" si="11"/>
        <v>5.7207988861119281E-2</v>
      </c>
      <c r="H142" s="3">
        <f t="shared" si="12"/>
        <v>1.8020516491252574E-2</v>
      </c>
      <c r="I142">
        <f t="shared" si="13"/>
        <v>15.80007855503537</v>
      </c>
      <c r="J142">
        <f t="shared" si="14"/>
        <v>12.659330968793975</v>
      </c>
      <c r="K142">
        <v>4.0819999999999997E-3</v>
      </c>
    </row>
    <row r="143" spans="1:11" ht="15" x14ac:dyDescent="0.25">
      <c r="A143" s="1" t="s">
        <v>5</v>
      </c>
      <c r="B143" s="1" t="s">
        <v>139</v>
      </c>
      <c r="C143" s="1">
        <v>35.299999999999997</v>
      </c>
      <c r="D143" s="1">
        <v>33.799999999999997</v>
      </c>
      <c r="E143" s="1">
        <v>16.98</v>
      </c>
      <c r="F143" s="5">
        <f t="shared" si="10"/>
        <v>45470.500243055554</v>
      </c>
      <c r="G143" s="3">
        <f t="shared" si="11"/>
        <v>5.7207988861119281E-2</v>
      </c>
      <c r="H143" s="3">
        <f t="shared" si="12"/>
        <v>1.9336300235058314E-2</v>
      </c>
      <c r="I143">
        <f t="shared" si="13"/>
        <v>16.897571540258284</v>
      </c>
      <c r="J143">
        <f t="shared" si="14"/>
        <v>13.583663071277343</v>
      </c>
      <c r="K143">
        <v>4.1599999999999996E-3</v>
      </c>
    </row>
    <row r="144" spans="1:11" ht="15" x14ac:dyDescent="0.25">
      <c r="A144" s="1" t="s">
        <v>5</v>
      </c>
      <c r="B144" s="1" t="s">
        <v>140</v>
      </c>
      <c r="C144" s="1">
        <v>35.299999999999997</v>
      </c>
      <c r="D144" s="1">
        <v>36.6</v>
      </c>
      <c r="E144" s="1">
        <v>18.239999999999998</v>
      </c>
      <c r="F144" s="5">
        <f t="shared" si="10"/>
        <v>45470.500474537039</v>
      </c>
      <c r="G144" s="3">
        <f t="shared" si="11"/>
        <v>5.7207988861119281E-2</v>
      </c>
      <c r="H144" s="3">
        <f t="shared" si="12"/>
        <v>2.0938123923169658E-2</v>
      </c>
      <c r="I144">
        <f t="shared" si="13"/>
        <v>18.147661798398811</v>
      </c>
      <c r="J144">
        <f t="shared" si="14"/>
        <v>14.708936935170144</v>
      </c>
      <c r="K144">
        <v>4.3909999999999999E-3</v>
      </c>
    </row>
    <row r="145" spans="1:11" ht="15" x14ac:dyDescent="0.25">
      <c r="A145" s="1" t="s">
        <v>5</v>
      </c>
      <c r="B145" s="1" t="s">
        <v>141</v>
      </c>
      <c r="C145" s="1">
        <v>35.4</v>
      </c>
      <c r="D145" s="1">
        <v>40</v>
      </c>
      <c r="E145" s="1">
        <v>19.75</v>
      </c>
      <c r="F145" s="5">
        <f t="shared" si="10"/>
        <v>45470.500706018516</v>
      </c>
      <c r="G145" s="3">
        <f t="shared" si="11"/>
        <v>5.752449039806256E-2</v>
      </c>
      <c r="H145" s="3">
        <f t="shared" si="12"/>
        <v>2.3009796159225021E-2</v>
      </c>
      <c r="I145">
        <f t="shared" si="13"/>
        <v>19.644459638439894</v>
      </c>
      <c r="J145">
        <f t="shared" si="14"/>
        <v>16.159038482501174</v>
      </c>
      <c r="K145">
        <v>5.1289999999999999E-3</v>
      </c>
    </row>
    <row r="146" spans="1:11" ht="15" x14ac:dyDescent="0.25">
      <c r="A146" s="1" t="s">
        <v>5</v>
      </c>
      <c r="B146" s="1" t="s">
        <v>142</v>
      </c>
      <c r="C146" s="1">
        <v>35.4</v>
      </c>
      <c r="D146" s="1">
        <v>41.5</v>
      </c>
      <c r="E146" s="1">
        <v>20.350000000000001</v>
      </c>
      <c r="F146" s="5">
        <f t="shared" si="10"/>
        <v>45470.500937500001</v>
      </c>
      <c r="G146" s="3">
        <f t="shared" si="11"/>
        <v>5.752449039806256E-2</v>
      </c>
      <c r="H146" s="3">
        <f t="shared" si="12"/>
        <v>2.3872663515195965E-2</v>
      </c>
      <c r="I146">
        <f t="shared" si="13"/>
        <v>20.23292166616346</v>
      </c>
      <c r="J146">
        <f t="shared" si="14"/>
        <v>16.765002425594968</v>
      </c>
      <c r="K146">
        <v>4.2420000000000001E-3</v>
      </c>
    </row>
    <row r="147" spans="1:11" ht="15" x14ac:dyDescent="0.25">
      <c r="A147" s="1" t="s">
        <v>5</v>
      </c>
      <c r="B147" s="1" t="s">
        <v>143</v>
      </c>
      <c r="C147" s="1">
        <v>35.6</v>
      </c>
      <c r="D147" s="1">
        <v>42.4</v>
      </c>
      <c r="E147" s="1">
        <v>20.87</v>
      </c>
      <c r="F147" s="5">
        <f t="shared" si="10"/>
        <v>45470.501168981478</v>
      </c>
      <c r="G147" s="3">
        <f t="shared" si="11"/>
        <v>5.8162047724117934E-2</v>
      </c>
      <c r="H147" s="3">
        <f t="shared" si="12"/>
        <v>2.4660708235026002E-2</v>
      </c>
      <c r="I147">
        <f t="shared" si="13"/>
        <v>20.754142791759293</v>
      </c>
      <c r="J147">
        <f t="shared" si="14"/>
        <v>17.307202431799844</v>
      </c>
      <c r="K147">
        <v>4.9360000000000003E-3</v>
      </c>
    </row>
    <row r="148" spans="1:11" ht="15" x14ac:dyDescent="0.25">
      <c r="A148" s="1" t="s">
        <v>5</v>
      </c>
      <c r="B148" s="1" t="s">
        <v>144</v>
      </c>
      <c r="C148" s="1">
        <v>35.6</v>
      </c>
      <c r="D148" s="1">
        <v>41.3</v>
      </c>
      <c r="E148" s="1">
        <v>20.45</v>
      </c>
      <c r="F148" s="5">
        <f t="shared" si="10"/>
        <v>45470.501400462963</v>
      </c>
      <c r="G148" s="3">
        <f t="shared" si="11"/>
        <v>5.8162047724117934E-2</v>
      </c>
      <c r="H148" s="3">
        <f t="shared" si="12"/>
        <v>2.4020925710060707E-2</v>
      </c>
      <c r="I148">
        <f t="shared" si="13"/>
        <v>20.332134498616526</v>
      </c>
      <c r="J148">
        <f t="shared" si="14"/>
        <v>16.858194821540884</v>
      </c>
      <c r="K148">
        <v>4.0810000000000004E-3</v>
      </c>
    </row>
    <row r="149" spans="1:11" ht="15" x14ac:dyDescent="0.25">
      <c r="A149" s="1" t="s">
        <v>5</v>
      </c>
      <c r="B149" s="1" t="s">
        <v>145</v>
      </c>
      <c r="C149" s="1">
        <v>35.700000000000003</v>
      </c>
      <c r="D149" s="1">
        <v>40.6</v>
      </c>
      <c r="E149" s="1">
        <v>20.260000000000002</v>
      </c>
      <c r="F149" s="5">
        <f t="shared" si="10"/>
        <v>45470.501631944448</v>
      </c>
      <c r="G149" s="3">
        <f t="shared" si="11"/>
        <v>5.8483115597214426E-2</v>
      </c>
      <c r="H149" s="3">
        <f t="shared" si="12"/>
        <v>2.3744144932469059E-2</v>
      </c>
      <c r="I149">
        <f t="shared" si="13"/>
        <v>20.146478744337841</v>
      </c>
      <c r="J149">
        <f t="shared" si="14"/>
        <v>16.658551027441689</v>
      </c>
      <c r="K149">
        <v>4.9839999999999997E-3</v>
      </c>
    </row>
    <row r="150" spans="1:11" ht="15" x14ac:dyDescent="0.25">
      <c r="A150" s="1" t="s">
        <v>5</v>
      </c>
      <c r="B150" s="1" t="s">
        <v>146</v>
      </c>
      <c r="C150" s="1">
        <v>35.700000000000003</v>
      </c>
      <c r="D150" s="1">
        <v>40.1</v>
      </c>
      <c r="E150" s="1">
        <v>20.059999999999999</v>
      </c>
      <c r="F150" s="5">
        <f t="shared" si="10"/>
        <v>45470.501863425925</v>
      </c>
      <c r="G150" s="3">
        <f t="shared" si="11"/>
        <v>5.8483115597214426E-2</v>
      </c>
      <c r="H150" s="3">
        <f t="shared" si="12"/>
        <v>2.3451729354482986E-2</v>
      </c>
      <c r="I150">
        <f t="shared" si="13"/>
        <v>19.948244442444174</v>
      </c>
      <c r="J150">
        <f t="shared" si="14"/>
        <v>16.453396458138219</v>
      </c>
      <c r="K150">
        <v>4.5989999999999998E-3</v>
      </c>
    </row>
    <row r="151" spans="1:11" ht="15" x14ac:dyDescent="0.25">
      <c r="A151" s="1" t="s">
        <v>5</v>
      </c>
      <c r="B151" s="1" t="s">
        <v>147</v>
      </c>
      <c r="C151" s="1">
        <v>35.700000000000003</v>
      </c>
      <c r="D151" s="1">
        <v>38.799999999999997</v>
      </c>
      <c r="E151" s="1">
        <v>19.53</v>
      </c>
      <c r="F151" s="5">
        <f t="shared" si="10"/>
        <v>45470.50209490741</v>
      </c>
      <c r="G151" s="3">
        <f t="shared" si="11"/>
        <v>5.8483115597214426E-2</v>
      </c>
      <c r="H151" s="3">
        <f t="shared" si="12"/>
        <v>2.2691448851719195E-2</v>
      </c>
      <c r="I151">
        <f t="shared" si="13"/>
        <v>19.422412583784489</v>
      </c>
      <c r="J151">
        <f t="shared" si="14"/>
        <v>15.919994577949197</v>
      </c>
      <c r="K151">
        <v>4.6719999999999999E-3</v>
      </c>
    </row>
    <row r="152" spans="1:11" ht="15" x14ac:dyDescent="0.25">
      <c r="A152" s="1" t="s">
        <v>5</v>
      </c>
      <c r="B152" s="1" t="s">
        <v>148</v>
      </c>
      <c r="C152" s="1">
        <v>35.700000000000003</v>
      </c>
      <c r="D152" s="1">
        <v>39.299999999999997</v>
      </c>
      <c r="E152" s="1">
        <v>19.73</v>
      </c>
      <c r="F152" s="5">
        <f t="shared" si="10"/>
        <v>45470.502326388887</v>
      </c>
      <c r="G152" s="3">
        <f t="shared" si="11"/>
        <v>5.8483115597214426E-2</v>
      </c>
      <c r="H152" s="3">
        <f t="shared" si="12"/>
        <v>2.2983864429705268E-2</v>
      </c>
      <c r="I152">
        <f t="shared" si="13"/>
        <v>19.626474295552768</v>
      </c>
      <c r="J152">
        <f t="shared" si="14"/>
        <v>16.125149147252667</v>
      </c>
      <c r="K152">
        <v>4.4759999999999999E-3</v>
      </c>
    </row>
    <row r="153" spans="1:11" ht="15" x14ac:dyDescent="0.25">
      <c r="A153" s="1" t="s">
        <v>5</v>
      </c>
      <c r="B153" s="1" t="s">
        <v>149</v>
      </c>
      <c r="C153" s="1">
        <v>35.6</v>
      </c>
      <c r="D153" s="1">
        <v>39.1</v>
      </c>
      <c r="E153" s="1">
        <v>19.559999999999999</v>
      </c>
      <c r="F153" s="5">
        <f t="shared" si="10"/>
        <v>45470.502557870372</v>
      </c>
      <c r="G153" s="3">
        <f t="shared" si="11"/>
        <v>5.8162047724117934E-2</v>
      </c>
      <c r="H153" s="3">
        <f t="shared" si="12"/>
        <v>2.2741360660130116E-2</v>
      </c>
      <c r="I153">
        <f t="shared" si="13"/>
        <v>19.457407513995367</v>
      </c>
      <c r="J153">
        <f t="shared" si="14"/>
        <v>15.960179601022974</v>
      </c>
      <c r="K153">
        <v>4.7559999999999998E-3</v>
      </c>
    </row>
    <row r="154" spans="1:11" ht="15" x14ac:dyDescent="0.25">
      <c r="A154" s="1" t="s">
        <v>5</v>
      </c>
      <c r="B154" s="1" t="s">
        <v>150</v>
      </c>
      <c r="C154" s="1">
        <v>35.6</v>
      </c>
      <c r="D154" s="1">
        <v>39.6</v>
      </c>
      <c r="E154" s="1">
        <v>19.77</v>
      </c>
      <c r="F154" s="5">
        <f t="shared" si="10"/>
        <v>45470.502789351849</v>
      </c>
      <c r="G154" s="3">
        <f t="shared" si="11"/>
        <v>5.8162047724117934E-2</v>
      </c>
      <c r="H154" s="3">
        <f t="shared" si="12"/>
        <v>2.30321708987507E-2</v>
      </c>
      <c r="I154">
        <f t="shared" si="13"/>
        <v>19.6599635709361</v>
      </c>
      <c r="J154">
        <f t="shared" si="14"/>
        <v>16.164273969322494</v>
      </c>
      <c r="K154">
        <v>5.045E-3</v>
      </c>
    </row>
    <row r="155" spans="1:11" ht="15" x14ac:dyDescent="0.25">
      <c r="A155" s="1" t="s">
        <v>5</v>
      </c>
      <c r="B155" s="1" t="s">
        <v>151</v>
      </c>
      <c r="C155" s="1">
        <v>35.6</v>
      </c>
      <c r="D155" s="1">
        <v>40.1</v>
      </c>
      <c r="E155" s="1">
        <v>19.97</v>
      </c>
      <c r="F155" s="5">
        <f t="shared" si="10"/>
        <v>45470.503020833334</v>
      </c>
      <c r="G155" s="3">
        <f t="shared" si="11"/>
        <v>5.8162047724117934E-2</v>
      </c>
      <c r="H155" s="3">
        <f t="shared" si="12"/>
        <v>2.3322981137371291E-2</v>
      </c>
      <c r="I155">
        <f t="shared" si="13"/>
        <v>19.860269399013397</v>
      </c>
      <c r="J155">
        <f t="shared" si="14"/>
        <v>16.368368337622023</v>
      </c>
      <c r="K155">
        <v>5.4159999999999998E-3</v>
      </c>
    </row>
    <row r="156" spans="1:11" ht="15" x14ac:dyDescent="0.25">
      <c r="A156" s="1" t="s">
        <v>5</v>
      </c>
      <c r="B156" s="1" t="s">
        <v>152</v>
      </c>
      <c r="C156" s="1">
        <v>35.6</v>
      </c>
      <c r="D156" s="1">
        <v>40.1</v>
      </c>
      <c r="E156" s="1">
        <v>19.97</v>
      </c>
      <c r="F156" s="5">
        <f t="shared" si="10"/>
        <v>45470.503252314818</v>
      </c>
      <c r="G156" s="3">
        <f t="shared" si="11"/>
        <v>5.8162047724117934E-2</v>
      </c>
      <c r="H156" s="3">
        <f t="shared" si="12"/>
        <v>2.3322981137371291E-2</v>
      </c>
      <c r="I156">
        <f t="shared" si="13"/>
        <v>19.860269399013397</v>
      </c>
      <c r="J156">
        <f t="shared" si="14"/>
        <v>16.368368337622023</v>
      </c>
      <c r="K156">
        <v>5.1310000000000001E-3</v>
      </c>
    </row>
    <row r="157" spans="1:11" ht="15" x14ac:dyDescent="0.25">
      <c r="A157" s="1" t="s">
        <v>5</v>
      </c>
      <c r="B157" s="1" t="s">
        <v>153</v>
      </c>
      <c r="C157" s="1">
        <v>35.6</v>
      </c>
      <c r="D157" s="1">
        <v>39.799999999999997</v>
      </c>
      <c r="E157" s="1">
        <v>19.850000000000001</v>
      </c>
      <c r="F157" s="5">
        <f t="shared" si="10"/>
        <v>45470.503483796296</v>
      </c>
      <c r="G157" s="3">
        <f t="shared" si="11"/>
        <v>5.8162047724117934E-2</v>
      </c>
      <c r="H157" s="3">
        <f t="shared" si="12"/>
        <v>2.3148494994198937E-2</v>
      </c>
      <c r="I157">
        <f t="shared" si="13"/>
        <v>19.740352929848079</v>
      </c>
      <c r="J157">
        <f t="shared" si="14"/>
        <v>16.245911716642308</v>
      </c>
      <c r="K157">
        <v>5.0299999999999997E-3</v>
      </c>
    </row>
    <row r="158" spans="1:11" ht="15" x14ac:dyDescent="0.25">
      <c r="A158" s="1" t="s">
        <v>5</v>
      </c>
      <c r="B158" s="1" t="s">
        <v>154</v>
      </c>
      <c r="C158" s="1">
        <v>35.5</v>
      </c>
      <c r="D158" s="1">
        <v>39.6</v>
      </c>
      <c r="E158" s="1">
        <v>19.68</v>
      </c>
      <c r="F158" s="5">
        <f t="shared" si="10"/>
        <v>45470.50371527778</v>
      </c>
      <c r="G158" s="3">
        <f t="shared" si="11"/>
        <v>5.7842508008134327E-2</v>
      </c>
      <c r="H158" s="3">
        <f t="shared" si="12"/>
        <v>2.2905633171221195E-2</v>
      </c>
      <c r="I158">
        <f t="shared" si="13"/>
        <v>19.572106833287076</v>
      </c>
      <c r="J158">
        <f t="shared" si="14"/>
        <v>16.080676479823591</v>
      </c>
      <c r="K158">
        <v>4.4079999999999996E-3</v>
      </c>
    </row>
    <row r="159" spans="1:11" ht="15" x14ac:dyDescent="0.25">
      <c r="A159" s="1" t="s">
        <v>5</v>
      </c>
      <c r="B159" s="1" t="s">
        <v>155</v>
      </c>
      <c r="C159" s="1">
        <v>35.5</v>
      </c>
      <c r="D159" s="1">
        <v>37.799999999999997</v>
      </c>
      <c r="E159" s="1">
        <v>18.93</v>
      </c>
      <c r="F159" s="5">
        <f t="shared" si="10"/>
        <v>45470.503946759258</v>
      </c>
      <c r="G159" s="3">
        <f t="shared" si="11"/>
        <v>5.7842508008134327E-2</v>
      </c>
      <c r="H159" s="3">
        <f t="shared" si="12"/>
        <v>2.1864468027074774E-2</v>
      </c>
      <c r="I159">
        <f t="shared" si="13"/>
        <v>18.832444126824306</v>
      </c>
      <c r="J159">
        <f t="shared" si="14"/>
        <v>15.349736639831608</v>
      </c>
      <c r="K159">
        <v>4.7359999999999998E-3</v>
      </c>
    </row>
    <row r="160" spans="1:11" ht="15" x14ac:dyDescent="0.25">
      <c r="A160" s="1" t="s">
        <v>5</v>
      </c>
      <c r="B160" s="1" t="s">
        <v>156</v>
      </c>
      <c r="C160" s="1">
        <v>35.4</v>
      </c>
      <c r="D160" s="1">
        <v>37.299999999999997</v>
      </c>
      <c r="E160" s="1">
        <v>18.63</v>
      </c>
      <c r="F160" s="5">
        <f t="shared" si="10"/>
        <v>45470.504178240742</v>
      </c>
      <c r="G160" s="3">
        <f t="shared" si="11"/>
        <v>5.752449039806256E-2</v>
      </c>
      <c r="H160" s="3">
        <f t="shared" si="12"/>
        <v>2.1456634918477335E-2</v>
      </c>
      <c r="I160">
        <f t="shared" si="13"/>
        <v>18.534189207219189</v>
      </c>
      <c r="J160">
        <f t="shared" si="14"/>
        <v>15.068303384932344</v>
      </c>
      <c r="K160">
        <v>4.5110000000000003E-3</v>
      </c>
    </row>
    <row r="161" spans="1:11" ht="15" x14ac:dyDescent="0.25">
      <c r="A161" s="1" t="s">
        <v>5</v>
      </c>
      <c r="B161" s="1" t="s">
        <v>157</v>
      </c>
      <c r="C161" s="1">
        <v>35.4</v>
      </c>
      <c r="D161" s="1">
        <v>36.5</v>
      </c>
      <c r="E161" s="1">
        <v>18.28</v>
      </c>
      <c r="F161" s="5">
        <f t="shared" si="10"/>
        <v>45470.50440972222</v>
      </c>
      <c r="G161" s="3">
        <f t="shared" si="11"/>
        <v>5.752449039806256E-2</v>
      </c>
      <c r="H161" s="3">
        <f t="shared" si="12"/>
        <v>2.0996438995292833E-2</v>
      </c>
      <c r="I161">
        <f t="shared" si="13"/>
        <v>18.191553426775844</v>
      </c>
      <c r="J161">
        <f t="shared" si="14"/>
        <v>14.745122615282321</v>
      </c>
      <c r="K161">
        <v>4.5519999999999996E-3</v>
      </c>
    </row>
    <row r="162" spans="1:11" ht="15" x14ac:dyDescent="0.25">
      <c r="A162" s="1" t="s">
        <v>5</v>
      </c>
      <c r="B162" s="1" t="s">
        <v>158</v>
      </c>
      <c r="C162" s="1">
        <v>35.4</v>
      </c>
      <c r="D162" s="1">
        <v>36.1</v>
      </c>
      <c r="E162" s="1">
        <v>18.11</v>
      </c>
      <c r="F162" s="5">
        <f t="shared" si="10"/>
        <v>45470.504641203705</v>
      </c>
      <c r="G162" s="3">
        <f t="shared" si="11"/>
        <v>5.752449039806256E-2</v>
      </c>
      <c r="H162" s="3">
        <f t="shared" si="12"/>
        <v>2.0766341033700585E-2</v>
      </c>
      <c r="I162">
        <f t="shared" si="13"/>
        <v>18.017735141470535</v>
      </c>
      <c r="J162">
        <f t="shared" si="14"/>
        <v>14.583532230457308</v>
      </c>
      <c r="K162">
        <v>4.5490000000000001E-3</v>
      </c>
    </row>
    <row r="163" spans="1:11" ht="15" x14ac:dyDescent="0.25">
      <c r="A163" s="1" t="s">
        <v>5</v>
      </c>
      <c r="B163" s="1" t="s">
        <v>159</v>
      </c>
      <c r="C163" s="1">
        <v>35.4</v>
      </c>
      <c r="D163" s="1">
        <v>37.1</v>
      </c>
      <c r="E163" s="1">
        <v>18.54</v>
      </c>
      <c r="F163" s="5">
        <f t="shared" si="10"/>
        <v>45470.504872685182</v>
      </c>
      <c r="G163" s="3">
        <f t="shared" si="11"/>
        <v>5.752449039806256E-2</v>
      </c>
      <c r="H163" s="3">
        <f t="shared" si="12"/>
        <v>2.134158593768121E-2</v>
      </c>
      <c r="I163">
        <f t="shared" si="13"/>
        <v>18.44914469312214</v>
      </c>
      <c r="J163">
        <f t="shared" si="14"/>
        <v>14.987508192519837</v>
      </c>
      <c r="K163">
        <v>4.1539999999999997E-3</v>
      </c>
    </row>
    <row r="164" spans="1:11" ht="15" x14ac:dyDescent="0.25">
      <c r="A164" s="1" t="s">
        <v>5</v>
      </c>
      <c r="B164" s="1" t="s">
        <v>160</v>
      </c>
      <c r="C164" s="1">
        <v>35.4</v>
      </c>
      <c r="D164" s="1">
        <v>38</v>
      </c>
      <c r="E164" s="1">
        <v>18.93</v>
      </c>
      <c r="F164" s="5">
        <f t="shared" si="10"/>
        <v>45470.505104166667</v>
      </c>
      <c r="G164" s="3">
        <f t="shared" si="11"/>
        <v>5.752449039806256E-2</v>
      </c>
      <c r="H164" s="3">
        <f t="shared" si="12"/>
        <v>2.1859306351263773E-2</v>
      </c>
      <c r="I164">
        <f t="shared" si="13"/>
        <v>18.828700189112382</v>
      </c>
      <c r="J164">
        <f t="shared" si="14"/>
        <v>15.351086558376114</v>
      </c>
      <c r="K164">
        <v>4.7089999999999996E-3</v>
      </c>
    </row>
    <row r="165" spans="1:11" ht="15" x14ac:dyDescent="0.25">
      <c r="A165" s="1" t="s">
        <v>5</v>
      </c>
      <c r="B165" s="1" t="s">
        <v>161</v>
      </c>
      <c r="C165" s="1">
        <v>35.5</v>
      </c>
      <c r="D165" s="1">
        <v>38.299999999999997</v>
      </c>
      <c r="E165" s="1">
        <v>19.14</v>
      </c>
      <c r="F165" s="5">
        <f t="shared" si="10"/>
        <v>45470.505335648151</v>
      </c>
      <c r="G165" s="3">
        <f t="shared" si="11"/>
        <v>5.7842508008134327E-2</v>
      </c>
      <c r="H165" s="3">
        <f t="shared" si="12"/>
        <v>2.2153680567115447E-2</v>
      </c>
      <c r="I165">
        <f t="shared" si="13"/>
        <v>19.040980141013808</v>
      </c>
      <c r="J165">
        <f t="shared" si="14"/>
        <v>15.552775484273825</v>
      </c>
      <c r="K165">
        <v>4.7419999999999997E-3</v>
      </c>
    </row>
    <row r="166" spans="1:11" ht="15" x14ac:dyDescent="0.25">
      <c r="A166" s="1" t="s">
        <v>5</v>
      </c>
      <c r="B166" s="1" t="s">
        <v>162</v>
      </c>
      <c r="C166" s="1">
        <v>35.6</v>
      </c>
      <c r="D166" s="1">
        <v>40.1</v>
      </c>
      <c r="E166" s="1">
        <v>19.97</v>
      </c>
      <c r="F166" s="5">
        <f t="shared" si="10"/>
        <v>45470.505567129629</v>
      </c>
      <c r="G166" s="3">
        <f t="shared" si="11"/>
        <v>5.8162047724117934E-2</v>
      </c>
      <c r="H166" s="3">
        <f t="shared" si="12"/>
        <v>2.3322981137371291E-2</v>
      </c>
      <c r="I166">
        <f t="shared" si="13"/>
        <v>19.860269399013397</v>
      </c>
      <c r="J166">
        <f t="shared" si="14"/>
        <v>16.368368337622023</v>
      </c>
      <c r="K166">
        <v>4.3359999999999996E-3</v>
      </c>
    </row>
    <row r="167" spans="1:11" ht="15" x14ac:dyDescent="0.25">
      <c r="A167" s="1" t="s">
        <v>5</v>
      </c>
      <c r="B167" s="1" t="s">
        <v>163</v>
      </c>
      <c r="C167" s="1">
        <v>35.700000000000003</v>
      </c>
      <c r="D167" s="1">
        <v>39</v>
      </c>
      <c r="E167" s="1">
        <v>19.61</v>
      </c>
      <c r="F167" s="5">
        <f t="shared" si="10"/>
        <v>45470.505798611113</v>
      </c>
      <c r="G167" s="3">
        <f t="shared" si="11"/>
        <v>5.8483115597214426E-2</v>
      </c>
      <c r="H167" s="3">
        <f t="shared" si="12"/>
        <v>2.2808415082913626E-2</v>
      </c>
      <c r="I167">
        <f t="shared" si="13"/>
        <v>19.504314911583762</v>
      </c>
      <c r="J167">
        <f t="shared" si="14"/>
        <v>16.002056405670587</v>
      </c>
      <c r="K167">
        <v>4.6610000000000002E-3</v>
      </c>
    </row>
    <row r="168" spans="1:11" ht="15" x14ac:dyDescent="0.25">
      <c r="A168" s="1" t="s">
        <v>5</v>
      </c>
      <c r="B168" s="1" t="s">
        <v>164</v>
      </c>
      <c r="C168" s="1">
        <v>35.700000000000003</v>
      </c>
      <c r="D168" s="1">
        <v>39.1</v>
      </c>
      <c r="E168" s="1">
        <v>19.649999999999999</v>
      </c>
      <c r="F168" s="5">
        <f t="shared" si="10"/>
        <v>45470.506030092591</v>
      </c>
      <c r="G168" s="3">
        <f t="shared" si="11"/>
        <v>5.8483115597214426E-2</v>
      </c>
      <c r="H168" s="3">
        <f t="shared" si="12"/>
        <v>2.2866898198510843E-2</v>
      </c>
      <c r="I168">
        <f t="shared" si="13"/>
        <v>19.545126805827888</v>
      </c>
      <c r="J168">
        <f t="shared" si="14"/>
        <v>16.043087319531278</v>
      </c>
      <c r="K168">
        <v>4.2050000000000004E-3</v>
      </c>
    </row>
    <row r="169" spans="1:11" ht="15" x14ac:dyDescent="0.25">
      <c r="A169" s="1" t="s">
        <v>5</v>
      </c>
      <c r="B169" s="1" t="s">
        <v>165</v>
      </c>
      <c r="C169" s="1">
        <v>35.700000000000003</v>
      </c>
      <c r="D169" s="1">
        <v>39</v>
      </c>
      <c r="E169" s="1">
        <v>19.61</v>
      </c>
      <c r="F169" s="5">
        <f t="shared" si="10"/>
        <v>45470.506261574075</v>
      </c>
      <c r="G169" s="3">
        <f t="shared" si="11"/>
        <v>5.8483115597214426E-2</v>
      </c>
      <c r="H169" s="3">
        <f t="shared" si="12"/>
        <v>2.2808415082913626E-2</v>
      </c>
      <c r="I169">
        <f t="shared" si="13"/>
        <v>19.504314911583762</v>
      </c>
      <c r="J169">
        <f t="shared" si="14"/>
        <v>16.002056405670587</v>
      </c>
      <c r="K169">
        <v>4.2929999999999999E-3</v>
      </c>
    </row>
    <row r="170" spans="1:11" ht="15" x14ac:dyDescent="0.25">
      <c r="A170" s="1" t="s">
        <v>5</v>
      </c>
      <c r="B170" s="1" t="s">
        <v>166</v>
      </c>
      <c r="C170" s="1">
        <v>35.700000000000003</v>
      </c>
      <c r="D170" s="1">
        <v>39.1</v>
      </c>
      <c r="E170" s="1">
        <v>19.649999999999999</v>
      </c>
      <c r="F170" s="5">
        <f t="shared" si="10"/>
        <v>45470.506493055553</v>
      </c>
      <c r="G170" s="3">
        <f t="shared" si="11"/>
        <v>5.8483115597214426E-2</v>
      </c>
      <c r="H170" s="3">
        <f t="shared" si="12"/>
        <v>2.2866898198510843E-2</v>
      </c>
      <c r="I170">
        <f t="shared" si="13"/>
        <v>19.545126805827888</v>
      </c>
      <c r="J170">
        <f t="shared" si="14"/>
        <v>16.043087319531278</v>
      </c>
      <c r="K170">
        <v>4.6350000000000002E-3</v>
      </c>
    </row>
    <row r="171" spans="1:11" ht="15" x14ac:dyDescent="0.25">
      <c r="A171" s="1" t="s">
        <v>5</v>
      </c>
      <c r="B171" s="1" t="s">
        <v>167</v>
      </c>
      <c r="C171" s="1">
        <v>35.700000000000003</v>
      </c>
      <c r="D171" s="1">
        <v>39</v>
      </c>
      <c r="E171" s="1">
        <v>19.61</v>
      </c>
      <c r="F171" s="5">
        <f t="shared" si="10"/>
        <v>45470.506724537037</v>
      </c>
      <c r="G171" s="3">
        <f t="shared" si="11"/>
        <v>5.8483115597214426E-2</v>
      </c>
      <c r="H171" s="3">
        <f t="shared" si="12"/>
        <v>2.2808415082913626E-2</v>
      </c>
      <c r="I171">
        <f t="shared" si="13"/>
        <v>19.504314911583762</v>
      </c>
      <c r="J171">
        <f t="shared" si="14"/>
        <v>16.002056405670587</v>
      </c>
      <c r="K171">
        <v>5.0790000000000002E-3</v>
      </c>
    </row>
    <row r="172" spans="1:11" ht="15" x14ac:dyDescent="0.25">
      <c r="A172" s="1" t="s">
        <v>5</v>
      </c>
      <c r="B172" s="1" t="s">
        <v>168</v>
      </c>
      <c r="C172" s="1">
        <v>35.700000000000003</v>
      </c>
      <c r="D172" s="1">
        <v>38.799999999999997</v>
      </c>
      <c r="E172" s="1">
        <v>19.53</v>
      </c>
      <c r="F172" s="5">
        <f t="shared" si="10"/>
        <v>45470.506956018522</v>
      </c>
      <c r="G172" s="3">
        <f t="shared" si="11"/>
        <v>5.8483115597214426E-2</v>
      </c>
      <c r="H172" s="3">
        <f t="shared" si="12"/>
        <v>2.2691448851719195E-2</v>
      </c>
      <c r="I172">
        <f t="shared" si="13"/>
        <v>19.422412583784489</v>
      </c>
      <c r="J172">
        <f t="shared" si="14"/>
        <v>15.919994577949197</v>
      </c>
      <c r="K172">
        <v>4.4149999999999997E-3</v>
      </c>
    </row>
    <row r="173" spans="1:11" ht="15" x14ac:dyDescent="0.25">
      <c r="A173" s="1" t="s">
        <v>5</v>
      </c>
      <c r="B173" s="1" t="s">
        <v>169</v>
      </c>
      <c r="C173" s="1">
        <v>35.700000000000003</v>
      </c>
      <c r="D173" s="1">
        <v>39.1</v>
      </c>
      <c r="E173" s="1">
        <v>19.649999999999999</v>
      </c>
      <c r="F173" s="5">
        <f t="shared" si="10"/>
        <v>45470.507187499999</v>
      </c>
      <c r="G173" s="3">
        <f t="shared" si="11"/>
        <v>5.8483115597214426E-2</v>
      </c>
      <c r="H173" s="3">
        <f t="shared" si="12"/>
        <v>2.2866898198510843E-2</v>
      </c>
      <c r="I173">
        <f t="shared" si="13"/>
        <v>19.545126805827888</v>
      </c>
      <c r="J173">
        <f t="shared" si="14"/>
        <v>16.043087319531278</v>
      </c>
      <c r="K173">
        <v>4.1050000000000001E-3</v>
      </c>
    </row>
    <row r="174" spans="1:11" ht="15" x14ac:dyDescent="0.25">
      <c r="A174" s="1" t="s">
        <v>5</v>
      </c>
      <c r="B174" s="1" t="s">
        <v>170</v>
      </c>
      <c r="C174" s="1">
        <v>35.700000000000003</v>
      </c>
      <c r="D174" s="1">
        <v>39.1</v>
      </c>
      <c r="E174" s="1">
        <v>19.649999999999999</v>
      </c>
      <c r="F174" s="5">
        <f t="shared" si="10"/>
        <v>45470.507418981484</v>
      </c>
      <c r="G174" s="3">
        <f t="shared" si="11"/>
        <v>5.8483115597214426E-2</v>
      </c>
      <c r="H174" s="3">
        <f t="shared" si="12"/>
        <v>2.2866898198510843E-2</v>
      </c>
      <c r="I174">
        <f t="shared" si="13"/>
        <v>19.545126805827888</v>
      </c>
      <c r="J174">
        <f t="shared" si="14"/>
        <v>16.043087319531278</v>
      </c>
      <c r="K174">
        <v>4.9150000000000001E-3</v>
      </c>
    </row>
    <row r="175" spans="1:11" ht="15" x14ac:dyDescent="0.25">
      <c r="A175" s="1" t="s">
        <v>5</v>
      </c>
      <c r="B175" s="1" t="s">
        <v>171</v>
      </c>
      <c r="C175" s="1">
        <v>35.799999999999997</v>
      </c>
      <c r="D175" s="1">
        <v>39</v>
      </c>
      <c r="E175" s="1">
        <v>19.7</v>
      </c>
      <c r="F175" s="5">
        <f t="shared" si="10"/>
        <v>45470.507650462961</v>
      </c>
      <c r="G175" s="3">
        <f t="shared" si="11"/>
        <v>5.8805717697077389E-2</v>
      </c>
      <c r="H175" s="3">
        <f t="shared" si="12"/>
        <v>2.2934229901860181E-2</v>
      </c>
      <c r="I175">
        <f t="shared" si="13"/>
        <v>19.591999392350608</v>
      </c>
      <c r="J175">
        <f t="shared" si="14"/>
        <v>16.085118207397812</v>
      </c>
      <c r="K175">
        <v>4.8840000000000003E-3</v>
      </c>
    </row>
    <row r="176" spans="1:11" ht="15" x14ac:dyDescent="0.25">
      <c r="A176" s="1" t="s">
        <v>5</v>
      </c>
      <c r="B176" s="1" t="s">
        <v>172</v>
      </c>
      <c r="C176" s="1">
        <v>35.799999999999997</v>
      </c>
      <c r="D176" s="1">
        <v>39</v>
      </c>
      <c r="E176" s="1">
        <v>19.7</v>
      </c>
      <c r="F176" s="5">
        <f t="shared" si="10"/>
        <v>45470.507881944446</v>
      </c>
      <c r="G176" s="3">
        <f t="shared" si="11"/>
        <v>5.8805717697077389E-2</v>
      </c>
      <c r="H176" s="3">
        <f t="shared" si="12"/>
        <v>2.2934229901860181E-2</v>
      </c>
      <c r="I176">
        <f t="shared" si="13"/>
        <v>19.591999392350608</v>
      </c>
      <c r="J176">
        <f t="shared" si="14"/>
        <v>16.085118207397812</v>
      </c>
      <c r="K176">
        <v>4.0619999999999996E-3</v>
      </c>
    </row>
    <row r="177" spans="1:11" ht="15" x14ac:dyDescent="0.25">
      <c r="A177" s="1" t="s">
        <v>5</v>
      </c>
      <c r="B177" s="1" t="s">
        <v>173</v>
      </c>
      <c r="C177" s="1">
        <v>35.799999999999997</v>
      </c>
      <c r="D177" s="1">
        <v>39</v>
      </c>
      <c r="E177" s="1">
        <v>19.7</v>
      </c>
      <c r="F177" s="5">
        <f t="shared" si="10"/>
        <v>45470.508113425924</v>
      </c>
      <c r="G177" s="3">
        <f t="shared" si="11"/>
        <v>5.8805717697077389E-2</v>
      </c>
      <c r="H177" s="3">
        <f t="shared" si="12"/>
        <v>2.2934229901860181E-2</v>
      </c>
      <c r="I177">
        <f t="shared" si="13"/>
        <v>19.591999392350608</v>
      </c>
      <c r="J177">
        <f t="shared" si="14"/>
        <v>16.085118207397812</v>
      </c>
      <c r="K177">
        <v>4.47E-3</v>
      </c>
    </row>
    <row r="178" spans="1:11" ht="15" x14ac:dyDescent="0.25">
      <c r="A178" s="1" t="s">
        <v>5</v>
      </c>
      <c r="B178" s="1" t="s">
        <v>174</v>
      </c>
      <c r="C178" s="1">
        <v>35.799999999999997</v>
      </c>
      <c r="D178" s="1">
        <v>39.1</v>
      </c>
      <c r="E178" s="1">
        <v>19.739999999999998</v>
      </c>
      <c r="F178" s="5">
        <f t="shared" si="10"/>
        <v>45470.508344907408</v>
      </c>
      <c r="G178" s="3">
        <f t="shared" si="11"/>
        <v>5.8805717697077389E-2</v>
      </c>
      <c r="H178" s="3">
        <f t="shared" si="12"/>
        <v>2.2993035619557262E-2</v>
      </c>
      <c r="I178">
        <f t="shared" si="13"/>
        <v>19.6328371638734</v>
      </c>
      <c r="J178">
        <f t="shared" si="14"/>
        <v>16.126362100237298</v>
      </c>
      <c r="K178">
        <v>3.7559999999999998E-3</v>
      </c>
    </row>
    <row r="179" spans="1:11" ht="15" x14ac:dyDescent="0.25">
      <c r="A179" s="1" t="s">
        <v>5</v>
      </c>
      <c r="B179" s="1" t="s">
        <v>175</v>
      </c>
      <c r="C179" s="1">
        <v>35.799999999999997</v>
      </c>
      <c r="D179" s="1">
        <v>38.6</v>
      </c>
      <c r="E179" s="1">
        <v>19.53</v>
      </c>
      <c r="F179" s="5">
        <f t="shared" si="10"/>
        <v>45470.508576388886</v>
      </c>
      <c r="G179" s="3">
        <f t="shared" si="11"/>
        <v>5.8805717697077389E-2</v>
      </c>
      <c r="H179" s="3">
        <f t="shared" si="12"/>
        <v>2.2699007031071874E-2</v>
      </c>
      <c r="I179">
        <f t="shared" si="13"/>
        <v>19.427716263339789</v>
      </c>
      <c r="J179">
        <f t="shared" si="14"/>
        <v>15.920142636039889</v>
      </c>
      <c r="K179">
        <v>5.045E-3</v>
      </c>
    </row>
    <row r="180" spans="1:11" ht="15" x14ac:dyDescent="0.25">
      <c r="A180" s="1" t="s">
        <v>5</v>
      </c>
      <c r="B180" s="1" t="s">
        <v>176</v>
      </c>
      <c r="C180" s="1">
        <v>35.799999999999997</v>
      </c>
      <c r="D180" s="1">
        <v>39</v>
      </c>
      <c r="E180" s="1">
        <v>19.7</v>
      </c>
      <c r="F180" s="5">
        <f t="shared" si="10"/>
        <v>45470.50880787037</v>
      </c>
      <c r="G180" s="3">
        <f t="shared" si="11"/>
        <v>5.8805717697077389E-2</v>
      </c>
      <c r="H180" s="3">
        <f t="shared" si="12"/>
        <v>2.2934229901860181E-2</v>
      </c>
      <c r="I180">
        <f t="shared" si="13"/>
        <v>19.591999392350608</v>
      </c>
      <c r="J180">
        <f t="shared" si="14"/>
        <v>16.085118207397812</v>
      </c>
      <c r="K180">
        <v>4.1260000000000003E-3</v>
      </c>
    </row>
    <row r="181" spans="1:11" ht="15" x14ac:dyDescent="0.25">
      <c r="A181" s="1" t="s">
        <v>5</v>
      </c>
      <c r="B181" s="1" t="s">
        <v>177</v>
      </c>
      <c r="C181" s="1">
        <v>35.9</v>
      </c>
      <c r="D181" s="1">
        <v>39</v>
      </c>
      <c r="E181" s="1">
        <v>19.79</v>
      </c>
      <c r="F181" s="5">
        <f t="shared" si="10"/>
        <v>45470.509039351855</v>
      </c>
      <c r="G181" s="3">
        <f t="shared" si="11"/>
        <v>5.9129860111847753E-2</v>
      </c>
      <c r="H181" s="3">
        <f t="shared" si="12"/>
        <v>2.3060645443620621E-2</v>
      </c>
      <c r="I181">
        <f t="shared" si="13"/>
        <v>19.679674930009689</v>
      </c>
      <c r="J181">
        <f t="shared" si="14"/>
        <v>16.168547441891963</v>
      </c>
      <c r="K181">
        <v>4.9129999999999998E-3</v>
      </c>
    </row>
    <row r="182" spans="1:11" ht="15" x14ac:dyDescent="0.25">
      <c r="A182" s="1" t="s">
        <v>5</v>
      </c>
      <c r="B182" s="1" t="s">
        <v>178</v>
      </c>
      <c r="C182" s="1">
        <v>35.9</v>
      </c>
      <c r="D182" s="1">
        <v>38.5</v>
      </c>
      <c r="E182" s="1">
        <v>19.579999999999998</v>
      </c>
      <c r="F182" s="5">
        <f t="shared" si="10"/>
        <v>45470.509270833332</v>
      </c>
      <c r="G182" s="3">
        <f t="shared" si="11"/>
        <v>5.9129860111847753E-2</v>
      </c>
      <c r="H182" s="3">
        <f t="shared" si="12"/>
        <v>2.2764996143061388E-2</v>
      </c>
      <c r="I182">
        <f t="shared" si="13"/>
        <v>19.473955480343555</v>
      </c>
      <c r="J182">
        <f t="shared" si="14"/>
        <v>15.961258372124123</v>
      </c>
      <c r="K182">
        <v>4.7540000000000004E-3</v>
      </c>
    </row>
    <row r="183" spans="1:11" ht="15" x14ac:dyDescent="0.25">
      <c r="A183" s="1" t="s">
        <v>5</v>
      </c>
      <c r="B183" s="1" t="s">
        <v>179</v>
      </c>
      <c r="C183" s="1">
        <v>35.9</v>
      </c>
      <c r="D183" s="1">
        <v>38.5</v>
      </c>
      <c r="E183" s="1">
        <v>19.579999999999998</v>
      </c>
      <c r="F183" s="5">
        <f t="shared" si="10"/>
        <v>45470.509502314817</v>
      </c>
      <c r="G183" s="3">
        <f t="shared" si="11"/>
        <v>5.9129860111847753E-2</v>
      </c>
      <c r="H183" s="3">
        <f t="shared" si="12"/>
        <v>2.2764996143061388E-2</v>
      </c>
      <c r="I183">
        <f t="shared" si="13"/>
        <v>19.473955480343555</v>
      </c>
      <c r="J183">
        <f t="shared" si="14"/>
        <v>15.961258372124123</v>
      </c>
      <c r="K183">
        <v>4.4359999999999998E-3</v>
      </c>
    </row>
    <row r="184" spans="1:11" ht="15" x14ac:dyDescent="0.25">
      <c r="A184" s="1" t="s">
        <v>5</v>
      </c>
      <c r="B184" s="1" t="s">
        <v>180</v>
      </c>
      <c r="C184" s="1">
        <v>35.9</v>
      </c>
      <c r="D184" s="1">
        <v>38.6</v>
      </c>
      <c r="E184" s="1">
        <v>19.62</v>
      </c>
      <c r="F184" s="5">
        <f t="shared" si="10"/>
        <v>45470.509733796294</v>
      </c>
      <c r="G184" s="3">
        <f t="shared" si="11"/>
        <v>5.9129860111847753E-2</v>
      </c>
      <c r="H184" s="3">
        <f t="shared" si="12"/>
        <v>2.2824126003173233E-2</v>
      </c>
      <c r="I184">
        <f t="shared" si="13"/>
        <v>19.5152877175151</v>
      </c>
      <c r="J184">
        <f t="shared" si="14"/>
        <v>16.002716186077691</v>
      </c>
      <c r="K184">
        <v>5.2449999999999997E-3</v>
      </c>
    </row>
    <row r="185" spans="1:11" ht="15" x14ac:dyDescent="0.25">
      <c r="A185" s="1" t="s">
        <v>5</v>
      </c>
      <c r="B185" s="1" t="s">
        <v>181</v>
      </c>
      <c r="C185" s="1">
        <v>36</v>
      </c>
      <c r="D185" s="1">
        <v>38.1</v>
      </c>
      <c r="E185" s="1">
        <v>19.5</v>
      </c>
      <c r="F185" s="5">
        <f t="shared" si="10"/>
        <v>45470.509965277779</v>
      </c>
      <c r="G185" s="3">
        <f t="shared" si="11"/>
        <v>5.9455548948188303E-2</v>
      </c>
      <c r="H185" s="3">
        <f t="shared" si="12"/>
        <v>2.2652564149259743E-2</v>
      </c>
      <c r="I185">
        <f t="shared" si="13"/>
        <v>19.395101914713081</v>
      </c>
      <c r="J185">
        <f t="shared" si="14"/>
        <v>15.877291296749078</v>
      </c>
      <c r="K185">
        <v>4.8209999999999998E-3</v>
      </c>
    </row>
    <row r="186" spans="1:11" ht="15" x14ac:dyDescent="0.25">
      <c r="A186" s="1" t="s">
        <v>5</v>
      </c>
      <c r="B186" s="1" t="s">
        <v>182</v>
      </c>
      <c r="C186" s="1">
        <v>36</v>
      </c>
      <c r="D186" s="1">
        <v>38.299999999999997</v>
      </c>
      <c r="E186" s="1">
        <v>19.579999999999998</v>
      </c>
      <c r="F186" s="5">
        <f t="shared" si="10"/>
        <v>45470.510196759256</v>
      </c>
      <c r="G186" s="3">
        <f t="shared" si="11"/>
        <v>5.9455548948188303E-2</v>
      </c>
      <c r="H186" s="3">
        <f t="shared" si="12"/>
        <v>2.2771475247156118E-2</v>
      </c>
      <c r="I186">
        <f t="shared" si="13"/>
        <v>19.478489055951275</v>
      </c>
      <c r="J186">
        <f t="shared" si="14"/>
        <v>15.960636657886868</v>
      </c>
      <c r="K186">
        <v>4.3150000000000003E-3</v>
      </c>
    </row>
    <row r="187" spans="1:11" ht="15" x14ac:dyDescent="0.25">
      <c r="A187" s="1" t="s">
        <v>5</v>
      </c>
      <c r="B187" s="1" t="s">
        <v>183</v>
      </c>
      <c r="C187" s="1">
        <v>36</v>
      </c>
      <c r="D187" s="1">
        <v>38.1</v>
      </c>
      <c r="E187" s="1">
        <v>19.5</v>
      </c>
      <c r="F187" s="5">
        <f t="shared" si="10"/>
        <v>45470.510428240741</v>
      </c>
      <c r="G187" s="3">
        <f t="shared" si="11"/>
        <v>5.9455548948188303E-2</v>
      </c>
      <c r="H187" s="3">
        <f t="shared" si="12"/>
        <v>2.2652564149259743E-2</v>
      </c>
      <c r="I187">
        <f t="shared" si="13"/>
        <v>19.395101914713081</v>
      </c>
      <c r="J187">
        <f t="shared" si="14"/>
        <v>15.877291296749078</v>
      </c>
      <c r="K187">
        <v>4.2090000000000001E-3</v>
      </c>
    </row>
    <row r="188" spans="1:11" ht="15" x14ac:dyDescent="0.25">
      <c r="A188" s="1" t="s">
        <v>5</v>
      </c>
      <c r="B188" s="1" t="s">
        <v>184</v>
      </c>
      <c r="C188" s="1">
        <v>36</v>
      </c>
      <c r="D188" s="1">
        <v>37.5</v>
      </c>
      <c r="E188" s="1">
        <v>19.239999999999998</v>
      </c>
      <c r="F188" s="5">
        <f t="shared" si="10"/>
        <v>45470.510659722226</v>
      </c>
      <c r="G188" s="3">
        <f t="shared" si="11"/>
        <v>5.9455548948188303E-2</v>
      </c>
      <c r="H188" s="3">
        <f t="shared" si="12"/>
        <v>2.2295830855570613E-2</v>
      </c>
      <c r="I188">
        <f t="shared" si="13"/>
        <v>19.142595536812301</v>
      </c>
      <c r="J188">
        <f t="shared" si="14"/>
        <v>15.627255213335706</v>
      </c>
      <c r="K188">
        <v>4.6690000000000004E-3</v>
      </c>
    </row>
    <row r="189" spans="1:11" ht="15" x14ac:dyDescent="0.25">
      <c r="A189" s="1" t="s">
        <v>5</v>
      </c>
      <c r="B189" s="1" t="s">
        <v>185</v>
      </c>
      <c r="C189" s="1">
        <v>36.1</v>
      </c>
      <c r="D189" s="1">
        <v>37.5</v>
      </c>
      <c r="E189" s="1">
        <v>19.329999999999998</v>
      </c>
      <c r="F189" s="5">
        <f t="shared" si="10"/>
        <v>45470.510891203703</v>
      </c>
      <c r="G189" s="3">
        <f t="shared" si="11"/>
        <v>5.9782790331318655E-2</v>
      </c>
      <c r="H189" s="3">
        <f t="shared" si="12"/>
        <v>2.2418546374244498E-2</v>
      </c>
      <c r="I189">
        <f t="shared" si="13"/>
        <v>19.229858022359803</v>
      </c>
      <c r="J189">
        <f t="shared" si="14"/>
        <v>15.70818602251769</v>
      </c>
      <c r="K189">
        <v>4.3359999999999996E-3</v>
      </c>
    </row>
    <row r="190" spans="1:11" ht="15" x14ac:dyDescent="0.25">
      <c r="A190" s="1" t="s">
        <v>5</v>
      </c>
      <c r="B190" s="1" t="s">
        <v>186</v>
      </c>
      <c r="C190" s="1">
        <v>36.1</v>
      </c>
      <c r="D190" s="1">
        <v>37.799999999999997</v>
      </c>
      <c r="E190" s="1">
        <v>19.46</v>
      </c>
      <c r="F190" s="5">
        <f t="shared" si="10"/>
        <v>45470.511122685188</v>
      </c>
      <c r="G190" s="3">
        <f t="shared" si="11"/>
        <v>5.9782790331318655E-2</v>
      </c>
      <c r="H190" s="3">
        <f t="shared" si="12"/>
        <v>2.2597894745238451E-2</v>
      </c>
      <c r="I190">
        <f t="shared" si="13"/>
        <v>19.3566346183148</v>
      </c>
      <c r="J190">
        <f t="shared" si="14"/>
        <v>15.833851510697832</v>
      </c>
      <c r="K190">
        <v>4.8399999999999997E-3</v>
      </c>
    </row>
    <row r="191" spans="1:11" ht="15" x14ac:dyDescent="0.25">
      <c r="A191" s="1" t="s">
        <v>5</v>
      </c>
      <c r="B191" s="1" t="s">
        <v>187</v>
      </c>
      <c r="C191" s="1">
        <v>36.1</v>
      </c>
      <c r="D191" s="1">
        <v>37.5</v>
      </c>
      <c r="E191" s="1">
        <v>19.329999999999998</v>
      </c>
      <c r="F191" s="5">
        <f t="shared" si="10"/>
        <v>45470.511354166665</v>
      </c>
      <c r="G191" s="3">
        <f t="shared" si="11"/>
        <v>5.9782790331318655E-2</v>
      </c>
      <c r="H191" s="3">
        <f t="shared" si="12"/>
        <v>2.2418546374244498E-2</v>
      </c>
      <c r="I191">
        <f t="shared" si="13"/>
        <v>19.229858022359803</v>
      </c>
      <c r="J191">
        <f t="shared" si="14"/>
        <v>15.70818602251769</v>
      </c>
      <c r="K191">
        <v>4.5739999999999999E-3</v>
      </c>
    </row>
    <row r="192" spans="1:11" ht="15" x14ac:dyDescent="0.25">
      <c r="A192" s="1" t="s">
        <v>5</v>
      </c>
      <c r="B192" s="1" t="s">
        <v>188</v>
      </c>
      <c r="C192" s="1">
        <v>36.200000000000003</v>
      </c>
      <c r="D192" s="1">
        <v>38.799999999999997</v>
      </c>
      <c r="E192" s="1">
        <v>19.97</v>
      </c>
      <c r="F192" s="5">
        <f t="shared" si="10"/>
        <v>45470.51158564815</v>
      </c>
      <c r="G192" s="3">
        <f t="shared" si="11"/>
        <v>6.0111590405049813E-2</v>
      </c>
      <c r="H192" s="3">
        <f t="shared" si="12"/>
        <v>2.3323297077159327E-2</v>
      </c>
      <c r="I192">
        <f t="shared" si="13"/>
        <v>19.860485809365397</v>
      </c>
      <c r="J192">
        <f t="shared" si="14"/>
        <v>16.336842358385276</v>
      </c>
      <c r="K192">
        <v>5.1159999999999999E-3</v>
      </c>
    </row>
    <row r="193" spans="1:11" ht="15" x14ac:dyDescent="0.25">
      <c r="A193" s="1" t="s">
        <v>5</v>
      </c>
      <c r="B193" s="1" t="s">
        <v>189</v>
      </c>
      <c r="C193" s="1">
        <v>36.299999999999997</v>
      </c>
      <c r="D193" s="1">
        <v>40.1</v>
      </c>
      <c r="E193" s="1">
        <v>20.59</v>
      </c>
      <c r="F193" s="5">
        <f t="shared" si="10"/>
        <v>45470.511817129627</v>
      </c>
      <c r="G193" s="3">
        <f t="shared" si="11"/>
        <v>6.0441955331818828E-2</v>
      </c>
      <c r="H193" s="3">
        <f t="shared" si="12"/>
        <v>2.423722408805935E-2</v>
      </c>
      <c r="I193">
        <f t="shared" si="13"/>
        <v>20.475908120218033</v>
      </c>
      <c r="J193">
        <f t="shared" si="14"/>
        <v>16.971517871804746</v>
      </c>
      <c r="K193">
        <v>5.0699999999999999E-3</v>
      </c>
    </row>
    <row r="194" spans="1:11" ht="15" x14ac:dyDescent="0.25">
      <c r="A194" s="1" t="s">
        <v>5</v>
      </c>
      <c r="B194" s="1" t="s">
        <v>190</v>
      </c>
      <c r="C194" s="1">
        <v>36.6</v>
      </c>
      <c r="D194" s="1">
        <v>42.6</v>
      </c>
      <c r="E194" s="1">
        <v>21.84</v>
      </c>
      <c r="F194" s="5">
        <f t="shared" si="10"/>
        <v>45470.512048611112</v>
      </c>
      <c r="G194" s="3">
        <f t="shared" si="11"/>
        <v>6.1442501134845624E-2</v>
      </c>
      <c r="H194" s="3">
        <f t="shared" si="12"/>
        <v>2.6174505483444233E-2</v>
      </c>
      <c r="I194">
        <f t="shared" si="13"/>
        <v>21.71535626105922</v>
      </c>
      <c r="J194">
        <f t="shared" si="14"/>
        <v>18.310300207813928</v>
      </c>
      <c r="K194">
        <v>5.0470000000000003E-3</v>
      </c>
    </row>
    <row r="195" spans="1:11" ht="15" x14ac:dyDescent="0.25">
      <c r="A195" s="1" t="s">
        <v>5</v>
      </c>
      <c r="B195" s="1" t="s">
        <v>191</v>
      </c>
      <c r="C195" s="1">
        <v>36.9</v>
      </c>
      <c r="D195" s="1">
        <v>44.7</v>
      </c>
      <c r="E195" s="1">
        <v>22.9</v>
      </c>
      <c r="F195" s="5">
        <f t="shared" si="10"/>
        <v>45470.512280092589</v>
      </c>
      <c r="G195" s="3">
        <f t="shared" si="11"/>
        <v>6.24573542583476E-2</v>
      </c>
      <c r="H195" s="3">
        <f t="shared" si="12"/>
        <v>2.791843735348138E-2</v>
      </c>
      <c r="I195">
        <f t="shared" si="13"/>
        <v>22.763586972809861</v>
      </c>
      <c r="J195">
        <f t="shared" si="14"/>
        <v>19.511365537261845</v>
      </c>
      <c r="K195">
        <v>5.4970000000000001E-3</v>
      </c>
    </row>
    <row r="196" spans="1:11" ht="15" x14ac:dyDescent="0.25">
      <c r="A196" s="1" t="s">
        <v>5</v>
      </c>
      <c r="B196" s="1" t="s">
        <v>192</v>
      </c>
      <c r="C196" s="1">
        <v>37.299999999999997</v>
      </c>
      <c r="D196" s="1">
        <v>45.6</v>
      </c>
      <c r="E196" s="1">
        <v>23.59</v>
      </c>
      <c r="F196" s="5">
        <f t="shared" si="10"/>
        <v>45470.512511574074</v>
      </c>
      <c r="G196" s="3">
        <f t="shared" si="11"/>
        <v>6.3833040639925342E-2</v>
      </c>
      <c r="H196" s="3">
        <f t="shared" si="12"/>
        <v>2.9107866531805957E-2</v>
      </c>
      <c r="I196">
        <f t="shared" si="13"/>
        <v>23.445816507918785</v>
      </c>
      <c r="J196">
        <f t="shared" si="14"/>
        <v>20.31641171759092</v>
      </c>
      <c r="K196">
        <v>5.4590000000000003E-3</v>
      </c>
    </row>
    <row r="197" spans="1:11" ht="15" x14ac:dyDescent="0.25">
      <c r="A197" s="1" t="s">
        <v>5</v>
      </c>
      <c r="B197" s="1" t="s">
        <v>193</v>
      </c>
      <c r="C197" s="1">
        <v>37.6</v>
      </c>
      <c r="D197" s="1">
        <v>47.8</v>
      </c>
      <c r="E197" s="1">
        <v>24.65</v>
      </c>
      <c r="F197" s="5">
        <f t="shared" si="10"/>
        <v>45470.512743055559</v>
      </c>
      <c r="G197" s="3">
        <f t="shared" si="11"/>
        <v>6.4881939029452398E-2</v>
      </c>
      <c r="H197" s="3">
        <f t="shared" si="12"/>
        <v>3.1013566856078242E-2</v>
      </c>
      <c r="I197">
        <f t="shared" si="13"/>
        <v>24.489200516195787</v>
      </c>
      <c r="J197">
        <f t="shared" si="14"/>
        <v>21.625635288809178</v>
      </c>
      <c r="K197">
        <v>6.339E-3</v>
      </c>
    </row>
    <row r="198" spans="1:11" ht="15" x14ac:dyDescent="0.25">
      <c r="A198" s="1" t="s">
        <v>5</v>
      </c>
      <c r="B198" s="1" t="s">
        <v>194</v>
      </c>
      <c r="C198" s="1">
        <v>38</v>
      </c>
      <c r="D198" s="1">
        <v>47.7</v>
      </c>
      <c r="E198" s="1">
        <v>24.98</v>
      </c>
      <c r="F198" s="5">
        <f t="shared" si="10"/>
        <v>45470.512974537036</v>
      </c>
      <c r="G198" s="3">
        <f t="shared" si="11"/>
        <v>6.6303643952936822E-2</v>
      </c>
      <c r="H198" s="3">
        <f t="shared" si="12"/>
        <v>3.1626838165550869E-2</v>
      </c>
      <c r="I198">
        <f t="shared" si="13"/>
        <v>24.812940441684727</v>
      </c>
      <c r="J198">
        <f t="shared" si="14"/>
        <v>22.024916247019803</v>
      </c>
      <c r="K198">
        <v>5.5009999999999998E-3</v>
      </c>
    </row>
    <row r="199" spans="1:11" ht="15" x14ac:dyDescent="0.25">
      <c r="A199" s="1" t="s">
        <v>5</v>
      </c>
      <c r="B199" s="1" t="s">
        <v>195</v>
      </c>
      <c r="C199" s="1">
        <v>38.200000000000003</v>
      </c>
      <c r="D199" s="1">
        <v>47.7</v>
      </c>
      <c r="E199" s="1">
        <v>25.16</v>
      </c>
      <c r="F199" s="5">
        <f t="shared" si="10"/>
        <v>45470.513206018521</v>
      </c>
      <c r="G199" s="3">
        <f t="shared" si="11"/>
        <v>6.7024544476633363E-2</v>
      </c>
      <c r="H199" s="3">
        <f t="shared" si="12"/>
        <v>3.1970707715354117E-2</v>
      </c>
      <c r="I199">
        <f t="shared" si="13"/>
        <v>24.992049120915333</v>
      </c>
      <c r="J199">
        <f t="shared" si="14"/>
        <v>22.250085012550013</v>
      </c>
      <c r="K199">
        <v>5.8259999999999996E-3</v>
      </c>
    </row>
    <row r="200" spans="1:11" ht="15" x14ac:dyDescent="0.25">
      <c r="A200" s="1" t="s">
        <v>5</v>
      </c>
      <c r="B200" s="1" t="s">
        <v>196</v>
      </c>
      <c r="C200" s="1">
        <v>38.4</v>
      </c>
      <c r="D200" s="1">
        <v>47.2</v>
      </c>
      <c r="E200" s="1">
        <v>25.16</v>
      </c>
      <c r="F200" s="5">
        <f t="shared" si="10"/>
        <v>45470.513437499998</v>
      </c>
      <c r="G200" s="3">
        <f t="shared" si="11"/>
        <v>6.7752213286412788E-2</v>
      </c>
      <c r="H200" s="3">
        <f t="shared" si="12"/>
        <v>3.1979044671186833E-2</v>
      </c>
      <c r="I200">
        <f t="shared" si="13"/>
        <v>24.99637037814415</v>
      </c>
      <c r="J200">
        <f t="shared" si="14"/>
        <v>22.241599934613333</v>
      </c>
      <c r="K200">
        <v>6.5329999999999997E-3</v>
      </c>
    </row>
    <row r="201" spans="1:11" ht="15" x14ac:dyDescent="0.25">
      <c r="A201" s="1" t="s">
        <v>5</v>
      </c>
      <c r="B201" s="1" t="s">
        <v>197</v>
      </c>
      <c r="C201" s="1">
        <v>38.5</v>
      </c>
      <c r="D201" s="1">
        <v>46.8</v>
      </c>
      <c r="E201" s="1">
        <v>25.11</v>
      </c>
      <c r="F201" s="5">
        <f t="shared" si="10"/>
        <v>45470.513668981483</v>
      </c>
      <c r="G201" s="3">
        <f t="shared" si="11"/>
        <v>6.8118602214702173E-2</v>
      </c>
      <c r="H201" s="3">
        <f t="shared" si="12"/>
        <v>3.1879505836480616E-2</v>
      </c>
      <c r="I201">
        <f t="shared" si="13"/>
        <v>24.944711799023523</v>
      </c>
      <c r="J201">
        <f t="shared" si="14"/>
        <v>22.16525562243017</v>
      </c>
      <c r="K201">
        <v>6.0359999999999997E-3</v>
      </c>
    </row>
    <row r="202" spans="1:11" ht="15" x14ac:dyDescent="0.25">
      <c r="A202" s="1" t="s">
        <v>5</v>
      </c>
      <c r="B202" s="1" t="s">
        <v>198</v>
      </c>
      <c r="C202" s="1">
        <v>38.6</v>
      </c>
      <c r="D202" s="1">
        <v>45.4</v>
      </c>
      <c r="E202" s="1">
        <v>24.69</v>
      </c>
      <c r="F202" s="5">
        <f t="shared" ref="F202:F265" si="15">A202+B202</f>
        <v>45470.51390046296</v>
      </c>
      <c r="G202" s="3">
        <f t="shared" ref="G202:G265" si="16">$B$2*EXP(($B$3-C202/$B$5)*(C202/($B$4+C202)))</f>
        <v>6.8486702952658782E-2</v>
      </c>
      <c r="H202" s="3">
        <f t="shared" ref="H202:H265" si="17">D202*G202/100</f>
        <v>3.1092963140507086E-2</v>
      </c>
      <c r="I202">
        <f t="shared" ref="I202:I265" si="18">$B$4*LN(H202/$B$2)/($B$3-LN(H202/$B$2))</f>
        <v>24.53142979027734</v>
      </c>
      <c r="J202">
        <f t="shared" ref="J202:J265" si="19">1000*H202*100000/($B$6*(C202+273.15))</f>
        <v>21.611451893997966</v>
      </c>
      <c r="K202">
        <v>6.0229999999999997E-3</v>
      </c>
    </row>
    <row r="203" spans="1:11" ht="15" x14ac:dyDescent="0.25">
      <c r="A203" s="1" t="s">
        <v>5</v>
      </c>
      <c r="B203" s="1" t="s">
        <v>199</v>
      </c>
      <c r="C203" s="1">
        <v>38.700000000000003</v>
      </c>
      <c r="D203" s="1">
        <v>45.1</v>
      </c>
      <c r="E203" s="1">
        <v>24.67</v>
      </c>
      <c r="F203" s="5">
        <f t="shared" si="15"/>
        <v>45470.514131944445</v>
      </c>
      <c r="G203" s="3">
        <f t="shared" si="16"/>
        <v>6.8856522120146535E-2</v>
      </c>
      <c r="H203" s="3">
        <f t="shared" si="17"/>
        <v>3.1054291476186088E-2</v>
      </c>
      <c r="I203">
        <f t="shared" si="18"/>
        <v>24.510873021252859</v>
      </c>
      <c r="J203">
        <f t="shared" si="19"/>
        <v>21.577651335752467</v>
      </c>
      <c r="K203">
        <v>6.0219999999999996E-3</v>
      </c>
    </row>
    <row r="204" spans="1:11" ht="15" x14ac:dyDescent="0.25">
      <c r="A204" s="1" t="s">
        <v>5</v>
      </c>
      <c r="B204" s="1" t="s">
        <v>200</v>
      </c>
      <c r="C204" s="1">
        <v>38.700000000000003</v>
      </c>
      <c r="D204" s="1">
        <v>45.4</v>
      </c>
      <c r="E204" s="1">
        <v>24.78</v>
      </c>
      <c r="F204" s="5">
        <f t="shared" si="15"/>
        <v>45470.514363425929</v>
      </c>
      <c r="G204" s="3">
        <f t="shared" si="16"/>
        <v>6.8856522120146535E-2</v>
      </c>
      <c r="H204" s="3">
        <f t="shared" si="17"/>
        <v>3.1260861042546523E-2</v>
      </c>
      <c r="I204">
        <f t="shared" si="18"/>
        <v>24.620418721815032</v>
      </c>
      <c r="J204">
        <f t="shared" si="19"/>
        <v>21.721183384549043</v>
      </c>
      <c r="K204">
        <v>5.561E-3</v>
      </c>
    </row>
    <row r="205" spans="1:11" ht="15" x14ac:dyDescent="0.25">
      <c r="A205" s="1" t="s">
        <v>5</v>
      </c>
      <c r="B205" s="1" t="s">
        <v>201</v>
      </c>
      <c r="C205" s="1">
        <v>38.799999999999997</v>
      </c>
      <c r="D205" s="1">
        <v>45.4</v>
      </c>
      <c r="E205" s="1">
        <v>24.87</v>
      </c>
      <c r="F205" s="5">
        <f t="shared" si="15"/>
        <v>45470.514594907407</v>
      </c>
      <c r="G205" s="3">
        <f t="shared" si="16"/>
        <v>6.9228066356521151E-2</v>
      </c>
      <c r="H205" s="3">
        <f t="shared" si="17"/>
        <v>3.1429542125860604E-2</v>
      </c>
      <c r="I205">
        <f t="shared" si="18"/>
        <v>24.709398936407251</v>
      </c>
      <c r="J205">
        <f t="shared" si="19"/>
        <v>21.831388531519469</v>
      </c>
      <c r="K205">
        <v>6.5529999999999998E-3</v>
      </c>
    </row>
    <row r="206" spans="1:11" ht="15" x14ac:dyDescent="0.25">
      <c r="A206" s="1" t="s">
        <v>5</v>
      </c>
      <c r="B206" s="1" t="s">
        <v>202</v>
      </c>
      <c r="C206" s="1">
        <v>38.9</v>
      </c>
      <c r="D206" s="1">
        <v>44.9</v>
      </c>
      <c r="E206" s="1">
        <v>24.78</v>
      </c>
      <c r="F206" s="5">
        <f t="shared" si="15"/>
        <v>45470.514826388891</v>
      </c>
      <c r="G206" s="3">
        <f t="shared" si="16"/>
        <v>6.9601342320664977E-2</v>
      </c>
      <c r="H206" s="3">
        <f t="shared" si="17"/>
        <v>3.1251002701978572E-2</v>
      </c>
      <c r="I206">
        <f t="shared" si="18"/>
        <v>24.615205294886248</v>
      </c>
      <c r="J206">
        <f t="shared" si="19"/>
        <v>21.700416236722472</v>
      </c>
      <c r="K206">
        <v>5.6990000000000001E-3</v>
      </c>
    </row>
    <row r="207" spans="1:11" ht="15" x14ac:dyDescent="0.25">
      <c r="A207" s="1" t="s">
        <v>5</v>
      </c>
      <c r="B207" s="1" t="s">
        <v>203</v>
      </c>
      <c r="C207" s="1">
        <v>38.9</v>
      </c>
      <c r="D207" s="1">
        <v>42.4</v>
      </c>
      <c r="E207" s="1">
        <v>23.82</v>
      </c>
      <c r="F207" s="5">
        <f t="shared" si="15"/>
        <v>45470.515057870369</v>
      </c>
      <c r="G207" s="3">
        <f t="shared" si="16"/>
        <v>6.9601342320664977E-2</v>
      </c>
      <c r="H207" s="3">
        <f t="shared" si="17"/>
        <v>2.9510969143961948E-2</v>
      </c>
      <c r="I207">
        <f t="shared" si="18"/>
        <v>23.671445952863511</v>
      </c>
      <c r="J207">
        <f t="shared" si="19"/>
        <v>20.492152526437255</v>
      </c>
      <c r="K207">
        <v>5.7409999999999996E-3</v>
      </c>
    </row>
    <row r="208" spans="1:11" ht="15" x14ac:dyDescent="0.25">
      <c r="A208" s="1" t="s">
        <v>5</v>
      </c>
      <c r="B208" s="1" t="s">
        <v>204</v>
      </c>
      <c r="C208" s="1">
        <v>39</v>
      </c>
      <c r="D208" s="1">
        <v>41.6</v>
      </c>
      <c r="E208" s="1">
        <v>23.59</v>
      </c>
      <c r="F208" s="5">
        <f t="shared" si="15"/>
        <v>45470.515289351853</v>
      </c>
      <c r="G208" s="3">
        <f t="shared" si="16"/>
        <v>6.9976356691021271E-2</v>
      </c>
      <c r="H208" s="3">
        <f t="shared" si="17"/>
        <v>2.9110164383464851E-2</v>
      </c>
      <c r="I208">
        <f t="shared" si="18"/>
        <v>23.447110488896985</v>
      </c>
      <c r="J208">
        <f t="shared" si="19"/>
        <v>20.207361611654573</v>
      </c>
      <c r="K208">
        <v>6.3940000000000004E-3</v>
      </c>
    </row>
    <row r="209" spans="1:11" ht="15" x14ac:dyDescent="0.25">
      <c r="A209" s="1" t="s">
        <v>5</v>
      </c>
      <c r="B209" s="1" t="s">
        <v>205</v>
      </c>
      <c r="C209" s="1">
        <v>39.1</v>
      </c>
      <c r="D209" s="1">
        <v>40.6</v>
      </c>
      <c r="E209" s="1">
        <v>23.28</v>
      </c>
      <c r="F209" s="5">
        <f t="shared" si="15"/>
        <v>45470.515520833331</v>
      </c>
      <c r="G209" s="3">
        <f t="shared" si="16"/>
        <v>7.0353116165628962E-2</v>
      </c>
      <c r="H209" s="3">
        <f t="shared" si="17"/>
        <v>2.8563365163245358E-2</v>
      </c>
      <c r="I209">
        <f t="shared" si="18"/>
        <v>23.136619542078741</v>
      </c>
      <c r="J209">
        <f t="shared" si="19"/>
        <v>19.821440797792114</v>
      </c>
      <c r="K209">
        <v>5.672E-3</v>
      </c>
    </row>
    <row r="210" spans="1:11" ht="15" x14ac:dyDescent="0.25">
      <c r="A210" s="1" t="s">
        <v>5</v>
      </c>
      <c r="B210" s="1" t="s">
        <v>206</v>
      </c>
      <c r="C210" s="1">
        <v>39.1</v>
      </c>
      <c r="D210" s="1">
        <v>40.799999999999997</v>
      </c>
      <c r="E210" s="1">
        <v>23.36</v>
      </c>
      <c r="F210" s="5">
        <f t="shared" si="15"/>
        <v>45470.515752314815</v>
      </c>
      <c r="G210" s="3">
        <f t="shared" si="16"/>
        <v>7.0353116165628962E-2</v>
      </c>
      <c r="H210" s="3">
        <f t="shared" si="17"/>
        <v>2.8704071395576614E-2</v>
      </c>
      <c r="I210">
        <f t="shared" si="18"/>
        <v>23.217015598955538</v>
      </c>
      <c r="J210">
        <f t="shared" si="19"/>
        <v>19.919083363298476</v>
      </c>
      <c r="K210">
        <v>5.6699999999999997E-3</v>
      </c>
    </row>
    <row r="211" spans="1:11" ht="15" x14ac:dyDescent="0.25">
      <c r="A211" s="1" t="s">
        <v>5</v>
      </c>
      <c r="B211" s="1" t="s">
        <v>207</v>
      </c>
      <c r="C211" s="1">
        <v>39.200000000000003</v>
      </c>
      <c r="D211" s="1">
        <v>41</v>
      </c>
      <c r="E211" s="1">
        <v>23.53</v>
      </c>
      <c r="F211" s="5">
        <f t="shared" si="15"/>
        <v>45470.515983796293</v>
      </c>
      <c r="G211" s="3">
        <f t="shared" si="16"/>
        <v>7.0731627462156915E-2</v>
      </c>
      <c r="H211" s="3">
        <f t="shared" si="17"/>
        <v>2.8999967259484335E-2</v>
      </c>
      <c r="I211">
        <f t="shared" si="18"/>
        <v>23.38495376405924</v>
      </c>
      <c r="J211">
        <f t="shared" si="19"/>
        <v>20.117976288499275</v>
      </c>
      <c r="K211">
        <v>5.3629999999999997E-3</v>
      </c>
    </row>
    <row r="212" spans="1:11" ht="15" x14ac:dyDescent="0.25">
      <c r="A212" s="1" t="s">
        <v>5</v>
      </c>
      <c r="B212" s="1" t="s">
        <v>208</v>
      </c>
      <c r="C212" s="1">
        <v>39.200000000000003</v>
      </c>
      <c r="D212" s="1">
        <v>41.3</v>
      </c>
      <c r="E212" s="1">
        <v>23.65</v>
      </c>
      <c r="F212" s="5">
        <f t="shared" si="15"/>
        <v>45470.516215277778</v>
      </c>
      <c r="G212" s="3">
        <f t="shared" si="16"/>
        <v>7.0731627462156915E-2</v>
      </c>
      <c r="H212" s="3">
        <f t="shared" si="17"/>
        <v>2.9212162141870803E-2</v>
      </c>
      <c r="I212">
        <f t="shared" si="18"/>
        <v>23.504457449012236</v>
      </c>
      <c r="J212">
        <f t="shared" si="19"/>
        <v>20.265180993049267</v>
      </c>
      <c r="K212">
        <v>5.8919999999999997E-3</v>
      </c>
    </row>
    <row r="213" spans="1:11" ht="15" x14ac:dyDescent="0.25">
      <c r="A213" s="1" t="s">
        <v>5</v>
      </c>
      <c r="B213" s="1" t="s">
        <v>209</v>
      </c>
      <c r="C213" s="1">
        <v>39.299999999999997</v>
      </c>
      <c r="D213" s="1">
        <v>40.799999999999997</v>
      </c>
      <c r="E213" s="1">
        <v>23.54</v>
      </c>
      <c r="F213" s="5">
        <f t="shared" si="15"/>
        <v>45470.516446759262</v>
      </c>
      <c r="G213" s="3">
        <f t="shared" si="16"/>
        <v>7.1111897317938391E-2</v>
      </c>
      <c r="H213" s="3">
        <f t="shared" si="17"/>
        <v>2.9013654105718861E-2</v>
      </c>
      <c r="I213">
        <f t="shared" si="18"/>
        <v>23.392685168158746</v>
      </c>
      <c r="J213">
        <f t="shared" si="19"/>
        <v>20.121029362162815</v>
      </c>
      <c r="K213">
        <v>5.4530000000000004E-3</v>
      </c>
    </row>
    <row r="214" spans="1:11" ht="15" x14ac:dyDescent="0.25">
      <c r="A214" s="1" t="s">
        <v>5</v>
      </c>
      <c r="B214" s="1" t="s">
        <v>210</v>
      </c>
      <c r="C214" s="1">
        <v>39.4</v>
      </c>
      <c r="D214" s="1">
        <v>39.5</v>
      </c>
      <c r="E214" s="1">
        <v>23.09</v>
      </c>
      <c r="F214" s="5">
        <f t="shared" si="15"/>
        <v>45470.51667824074</v>
      </c>
      <c r="G214" s="3">
        <f t="shared" si="16"/>
        <v>7.1493932490005976E-2</v>
      </c>
      <c r="H214" s="3">
        <f t="shared" si="17"/>
        <v>2.8240103333552362E-2</v>
      </c>
      <c r="I214">
        <f t="shared" si="18"/>
        <v>22.95058241573398</v>
      </c>
      <c r="J214">
        <f t="shared" si="19"/>
        <v>19.578304235648964</v>
      </c>
      <c r="K214">
        <v>5.8869999999999999E-3</v>
      </c>
    </row>
    <row r="215" spans="1:11" ht="15" x14ac:dyDescent="0.25">
      <c r="A215" s="1" t="s">
        <v>5</v>
      </c>
      <c r="B215" s="1" t="s">
        <v>211</v>
      </c>
      <c r="C215" s="1">
        <v>39.5</v>
      </c>
      <c r="D215" s="1">
        <v>40.299999999999997</v>
      </c>
      <c r="E215" s="1">
        <v>23.51</v>
      </c>
      <c r="F215" s="5">
        <f t="shared" si="15"/>
        <v>45470.516909722224</v>
      </c>
      <c r="G215" s="3">
        <f t="shared" si="16"/>
        <v>7.1877739755125347E-2</v>
      </c>
      <c r="H215" s="3">
        <f t="shared" si="17"/>
        <v>2.8966729121315513E-2</v>
      </c>
      <c r="I215">
        <f t="shared" si="18"/>
        <v>23.36616483263111</v>
      </c>
      <c r="J215">
        <f t="shared" si="19"/>
        <v>20.075636324728734</v>
      </c>
      <c r="K215">
        <v>5.1900000000000002E-3</v>
      </c>
    </row>
    <row r="216" spans="1:11" ht="15" x14ac:dyDescent="0.25">
      <c r="A216" s="1" t="s">
        <v>5</v>
      </c>
      <c r="B216" s="1" t="s">
        <v>212</v>
      </c>
      <c r="C216" s="1">
        <v>39.6</v>
      </c>
      <c r="D216" s="1">
        <v>40.5</v>
      </c>
      <c r="E216" s="1">
        <v>23.68</v>
      </c>
      <c r="F216" s="5">
        <f t="shared" si="15"/>
        <v>45470.517141203702</v>
      </c>
      <c r="G216" s="3">
        <f t="shared" si="16"/>
        <v>7.2263325909830339E-2</v>
      </c>
      <c r="H216" s="3">
        <f t="shared" si="17"/>
        <v>2.9266646993481291E-2</v>
      </c>
      <c r="I216">
        <f t="shared" si="18"/>
        <v>23.535018451240592</v>
      </c>
      <c r="J216">
        <f t="shared" si="19"/>
        <v>20.277011409104599</v>
      </c>
      <c r="K216">
        <v>6.5399999999999998E-3</v>
      </c>
    </row>
    <row r="217" spans="1:11" ht="15" x14ac:dyDescent="0.25">
      <c r="A217" s="1" t="s">
        <v>5</v>
      </c>
      <c r="B217" s="1" t="s">
        <v>213</v>
      </c>
      <c r="C217" s="1">
        <v>39.700000000000003</v>
      </c>
      <c r="D217" s="1">
        <v>40.1</v>
      </c>
      <c r="E217" s="1">
        <v>23.61</v>
      </c>
      <c r="F217" s="5">
        <f t="shared" si="15"/>
        <v>45470.517372685186</v>
      </c>
      <c r="G217" s="3">
        <f t="shared" si="16"/>
        <v>7.2650697770457087E-2</v>
      </c>
      <c r="H217" s="3">
        <f t="shared" si="17"/>
        <v>2.9132929805953292E-2</v>
      </c>
      <c r="I217">
        <f t="shared" si="18"/>
        <v>23.459925428114094</v>
      </c>
      <c r="J217">
        <f t="shared" si="19"/>
        <v>20.177915443057088</v>
      </c>
      <c r="K217">
        <v>5.6379999999999998E-3</v>
      </c>
    </row>
    <row r="218" spans="1:11" ht="15" x14ac:dyDescent="0.25">
      <c r="A218" s="1" t="s">
        <v>5</v>
      </c>
      <c r="B218" s="1" t="s">
        <v>214</v>
      </c>
      <c r="C218" s="1">
        <v>39.700000000000003</v>
      </c>
      <c r="D218" s="1">
        <v>40.1</v>
      </c>
      <c r="E218" s="1">
        <v>23.61</v>
      </c>
      <c r="F218" s="5">
        <f t="shared" si="15"/>
        <v>45470.517604166664</v>
      </c>
      <c r="G218" s="3">
        <f t="shared" si="16"/>
        <v>7.2650697770457087E-2</v>
      </c>
      <c r="H218" s="3">
        <f t="shared" si="17"/>
        <v>2.9132929805953292E-2</v>
      </c>
      <c r="I218">
        <f t="shared" si="18"/>
        <v>23.459925428114094</v>
      </c>
      <c r="J218">
        <f t="shared" si="19"/>
        <v>20.177915443057088</v>
      </c>
      <c r="K218">
        <v>5.3049999999999998E-3</v>
      </c>
    </row>
    <row r="219" spans="1:11" ht="15" x14ac:dyDescent="0.25">
      <c r="A219" s="1" t="s">
        <v>5</v>
      </c>
      <c r="B219" s="1" t="s">
        <v>215</v>
      </c>
      <c r="C219" s="1">
        <v>39.799999999999997</v>
      </c>
      <c r="D219" s="1">
        <v>39.299999999999997</v>
      </c>
      <c r="E219" s="1">
        <v>23.36</v>
      </c>
      <c r="F219" s="5">
        <f t="shared" si="15"/>
        <v>45470.517835648148</v>
      </c>
      <c r="G219" s="3">
        <f t="shared" si="16"/>
        <v>7.3039862173178233E-2</v>
      </c>
      <c r="H219" s="3">
        <f t="shared" si="17"/>
        <v>2.8704665834059045E-2</v>
      </c>
      <c r="I219">
        <f t="shared" si="18"/>
        <v>23.217354507321229</v>
      </c>
      <c r="J219">
        <f t="shared" si="19"/>
        <v>19.874940360850896</v>
      </c>
      <c r="K219">
        <v>6.012E-3</v>
      </c>
    </row>
    <row r="220" spans="1:11" ht="15" x14ac:dyDescent="0.25">
      <c r="A220" s="1" t="s">
        <v>5</v>
      </c>
      <c r="B220" s="1" t="s">
        <v>216</v>
      </c>
      <c r="C220" s="1">
        <v>39.9</v>
      </c>
      <c r="D220" s="1">
        <v>38.5</v>
      </c>
      <c r="E220" s="1">
        <v>23.11</v>
      </c>
      <c r="F220" s="5">
        <f t="shared" si="15"/>
        <v>45470.518067129633</v>
      </c>
      <c r="G220" s="3">
        <f t="shared" si="16"/>
        <v>7.3430825974038078E-2</v>
      </c>
      <c r="H220" s="3">
        <f t="shared" si="17"/>
        <v>2.8270868000004657E-2</v>
      </c>
      <c r="I220">
        <f t="shared" si="18"/>
        <v>22.968368242452687</v>
      </c>
      <c r="J220">
        <f t="shared" si="19"/>
        <v>19.568328452652459</v>
      </c>
      <c r="K220">
        <v>5.5880000000000001E-3</v>
      </c>
    </row>
    <row r="221" spans="1:11" ht="15" x14ac:dyDescent="0.25">
      <c r="A221" s="1" t="s">
        <v>5</v>
      </c>
      <c r="B221" s="1" t="s">
        <v>217</v>
      </c>
      <c r="C221" s="1">
        <v>40</v>
      </c>
      <c r="D221" s="1">
        <v>40.299999999999997</v>
      </c>
      <c r="E221" s="1">
        <v>23.96</v>
      </c>
      <c r="F221" s="5">
        <f t="shared" si="15"/>
        <v>45470.51829861111</v>
      </c>
      <c r="G221" s="3">
        <f t="shared" si="16"/>
        <v>7.3823596048986084E-2</v>
      </c>
      <c r="H221" s="3">
        <f t="shared" si="17"/>
        <v>2.9750909207741389E-2</v>
      </c>
      <c r="I221">
        <f t="shared" si="18"/>
        <v>23.804459229700658</v>
      </c>
      <c r="J221">
        <f t="shared" si="19"/>
        <v>20.586196845939096</v>
      </c>
      <c r="K221">
        <v>5.8529999999999997E-3</v>
      </c>
    </row>
    <row r="222" spans="1:11" ht="15" x14ac:dyDescent="0.25">
      <c r="A222" s="1" t="s">
        <v>5</v>
      </c>
      <c r="B222" s="1" t="s">
        <v>218</v>
      </c>
      <c r="C222" s="1">
        <v>40</v>
      </c>
      <c r="D222" s="1">
        <v>40.5</v>
      </c>
      <c r="E222" s="1">
        <v>24.04</v>
      </c>
      <c r="F222" s="5">
        <f t="shared" si="15"/>
        <v>45470.518530092595</v>
      </c>
      <c r="G222" s="3">
        <f t="shared" si="16"/>
        <v>7.3823596048986084E-2</v>
      </c>
      <c r="H222" s="3">
        <f t="shared" si="17"/>
        <v>2.9898556399839363E-2</v>
      </c>
      <c r="I222">
        <f t="shared" si="18"/>
        <v>23.885838957196448</v>
      </c>
      <c r="J222">
        <f t="shared" si="19"/>
        <v>20.688361594554177</v>
      </c>
      <c r="K222">
        <v>5.084E-3</v>
      </c>
    </row>
    <row r="223" spans="1:11" ht="15" x14ac:dyDescent="0.25">
      <c r="A223" s="1" t="s">
        <v>5</v>
      </c>
      <c r="B223" s="1" t="s">
        <v>219</v>
      </c>
      <c r="C223" s="1">
        <v>40.1</v>
      </c>
      <c r="D223" s="1">
        <v>40.1</v>
      </c>
      <c r="E223" s="1">
        <v>23.96</v>
      </c>
      <c r="F223" s="5">
        <f t="shared" si="15"/>
        <v>45470.518761574072</v>
      </c>
      <c r="G223" s="3">
        <f t="shared" si="16"/>
        <v>7.4218179293912057E-2</v>
      </c>
      <c r="H223" s="3">
        <f t="shared" si="17"/>
        <v>2.9761489896858735E-2</v>
      </c>
      <c r="I223">
        <f t="shared" si="18"/>
        <v>23.810302910180017</v>
      </c>
      <c r="J223">
        <f t="shared" si="19"/>
        <v>20.586944025551666</v>
      </c>
      <c r="K223">
        <v>5.8729999999999997E-3</v>
      </c>
    </row>
    <row r="224" spans="1:11" ht="15" x14ac:dyDescent="0.25">
      <c r="A224" s="1" t="s">
        <v>5</v>
      </c>
      <c r="B224" s="1" t="s">
        <v>220</v>
      </c>
      <c r="C224" s="1">
        <v>40.1</v>
      </c>
      <c r="D224" s="1">
        <v>39.6</v>
      </c>
      <c r="E224" s="1">
        <v>23.75</v>
      </c>
      <c r="F224" s="5">
        <f t="shared" si="15"/>
        <v>45470.518993055557</v>
      </c>
      <c r="G224" s="3">
        <f t="shared" si="16"/>
        <v>7.4218179293912057E-2</v>
      </c>
      <c r="H224" s="3">
        <f t="shared" si="17"/>
        <v>2.9390399000389172E-2</v>
      </c>
      <c r="I224">
        <f t="shared" si="18"/>
        <v>23.604245738810466</v>
      </c>
      <c r="J224">
        <f t="shared" si="19"/>
        <v>20.330248962888927</v>
      </c>
      <c r="K224">
        <v>5.9719999999999999E-3</v>
      </c>
    </row>
    <row r="225" spans="1:11" ht="15" x14ac:dyDescent="0.25">
      <c r="A225" s="1" t="s">
        <v>5</v>
      </c>
      <c r="B225" s="1" t="s">
        <v>221</v>
      </c>
      <c r="C225" s="1">
        <v>40.200000000000003</v>
      </c>
      <c r="D225" s="1">
        <v>39.799999999999997</v>
      </c>
      <c r="E225" s="1">
        <v>23.93</v>
      </c>
      <c r="F225" s="5">
        <f t="shared" si="15"/>
        <v>45470.519224537034</v>
      </c>
      <c r="G225" s="3">
        <f t="shared" si="16"/>
        <v>7.4614582624679945E-2</v>
      </c>
      <c r="H225" s="3">
        <f t="shared" si="17"/>
        <v>2.9696603884622617E-2</v>
      </c>
      <c r="I225">
        <f t="shared" si="18"/>
        <v>23.7744376632734</v>
      </c>
      <c r="J225">
        <f t="shared" si="19"/>
        <v>20.535504733904361</v>
      </c>
      <c r="K225">
        <v>6.0870000000000004E-3</v>
      </c>
    </row>
    <row r="226" spans="1:11" ht="15" x14ac:dyDescent="0.25">
      <c r="A226" s="1" t="s">
        <v>5</v>
      </c>
      <c r="B226" s="1" t="s">
        <v>222</v>
      </c>
      <c r="C226" s="1">
        <v>40.200000000000003</v>
      </c>
      <c r="D226" s="1">
        <v>39.1</v>
      </c>
      <c r="E226" s="1">
        <v>23.63</v>
      </c>
      <c r="F226" s="5">
        <f t="shared" si="15"/>
        <v>45470.519456018519</v>
      </c>
      <c r="G226" s="3">
        <f t="shared" si="16"/>
        <v>7.4614582624679945E-2</v>
      </c>
      <c r="H226" s="3">
        <f t="shared" si="17"/>
        <v>2.9174301806249862E-2</v>
      </c>
      <c r="I226">
        <f t="shared" si="18"/>
        <v>23.483191617885144</v>
      </c>
      <c r="J226">
        <f t="shared" si="19"/>
        <v>20.174327514966347</v>
      </c>
      <c r="K226">
        <v>6.2160000000000002E-3</v>
      </c>
    </row>
    <row r="227" spans="1:11" ht="15" x14ac:dyDescent="0.25">
      <c r="A227" s="1" t="s">
        <v>5</v>
      </c>
      <c r="B227" s="1" t="s">
        <v>223</v>
      </c>
      <c r="C227" s="1">
        <v>40.200000000000003</v>
      </c>
      <c r="D227" s="1">
        <v>39.799999999999997</v>
      </c>
      <c r="E227" s="1">
        <v>23.93</v>
      </c>
      <c r="F227" s="5">
        <f t="shared" si="15"/>
        <v>45470.519687499997</v>
      </c>
      <c r="G227" s="3">
        <f t="shared" si="16"/>
        <v>7.4614582624679945E-2</v>
      </c>
      <c r="H227" s="3">
        <f t="shared" si="17"/>
        <v>2.9696603884622617E-2</v>
      </c>
      <c r="I227">
        <f t="shared" si="18"/>
        <v>23.7744376632734</v>
      </c>
      <c r="J227">
        <f t="shared" si="19"/>
        <v>20.535504733904361</v>
      </c>
      <c r="K227">
        <v>6.2680000000000001E-3</v>
      </c>
    </row>
    <row r="228" spans="1:11" ht="15" x14ac:dyDescent="0.25">
      <c r="A228" s="1" t="s">
        <v>5</v>
      </c>
      <c r="B228" s="1" t="s">
        <v>224</v>
      </c>
      <c r="C228" s="1">
        <v>40.200000000000003</v>
      </c>
      <c r="D228" s="1">
        <v>40.299999999999997</v>
      </c>
      <c r="E228" s="1">
        <v>24.13</v>
      </c>
      <c r="F228" s="5">
        <f t="shared" si="15"/>
        <v>45470.519918981481</v>
      </c>
      <c r="G228" s="3">
        <f t="shared" si="16"/>
        <v>7.4614582624679945E-2</v>
      </c>
      <c r="H228" s="3">
        <f t="shared" si="17"/>
        <v>3.0069676797746015E-2</v>
      </c>
      <c r="I228">
        <f t="shared" si="18"/>
        <v>23.97971380513556</v>
      </c>
      <c r="J228">
        <f t="shared" si="19"/>
        <v>20.793488461717228</v>
      </c>
      <c r="K228">
        <v>7.0070000000000002E-3</v>
      </c>
    </row>
    <row r="229" spans="1:11" ht="15" x14ac:dyDescent="0.25">
      <c r="A229" s="1" t="s">
        <v>5</v>
      </c>
      <c r="B229" s="1" t="s">
        <v>225</v>
      </c>
      <c r="C229" s="1">
        <v>40.299999999999997</v>
      </c>
      <c r="D229" s="1">
        <v>39.1</v>
      </c>
      <c r="E229" s="1">
        <v>23.72</v>
      </c>
      <c r="F229" s="5">
        <f t="shared" si="15"/>
        <v>45470.520150462966</v>
      </c>
      <c r="G229" s="3">
        <f t="shared" si="16"/>
        <v>7.5012812977162432E-2</v>
      </c>
      <c r="H229" s="3">
        <f t="shared" si="17"/>
        <v>2.9330009874070511E-2</v>
      </c>
      <c r="I229">
        <f t="shared" si="18"/>
        <v>23.570496084492419</v>
      </c>
      <c r="J229">
        <f t="shared" si="19"/>
        <v>20.275530663494923</v>
      </c>
      <c r="K229">
        <v>6.522E-3</v>
      </c>
    </row>
    <row r="230" spans="1:11" ht="15" x14ac:dyDescent="0.25">
      <c r="A230" s="1" t="s">
        <v>5</v>
      </c>
      <c r="B230" s="1" t="s">
        <v>226</v>
      </c>
      <c r="C230" s="1">
        <v>40.299999999999997</v>
      </c>
      <c r="D230" s="1">
        <v>38.799999999999997</v>
      </c>
      <c r="E230" s="1">
        <v>23.59</v>
      </c>
      <c r="F230" s="5">
        <f t="shared" si="15"/>
        <v>45470.520381944443</v>
      </c>
      <c r="G230" s="3">
        <f t="shared" si="16"/>
        <v>7.5012812977162432E-2</v>
      </c>
      <c r="H230" s="3">
        <f t="shared" si="17"/>
        <v>2.9104971435139019E-2</v>
      </c>
      <c r="I230">
        <f t="shared" si="18"/>
        <v>23.444186074056823</v>
      </c>
      <c r="J230">
        <f t="shared" si="19"/>
        <v>20.119963932061452</v>
      </c>
      <c r="K230">
        <v>5.9519999999999998E-3</v>
      </c>
    </row>
    <row r="231" spans="1:11" ht="15" x14ac:dyDescent="0.25">
      <c r="A231" s="1" t="s">
        <v>5</v>
      </c>
      <c r="B231" s="1" t="s">
        <v>227</v>
      </c>
      <c r="C231" s="1">
        <v>40.4</v>
      </c>
      <c r="D231" s="1">
        <v>39.299999999999997</v>
      </c>
      <c r="E231" s="1">
        <v>23.89</v>
      </c>
      <c r="F231" s="5">
        <f t="shared" si="15"/>
        <v>45470.520613425928</v>
      </c>
      <c r="G231" s="3">
        <f t="shared" si="16"/>
        <v>7.5412877307275555E-2</v>
      </c>
      <c r="H231" s="3">
        <f t="shared" si="17"/>
        <v>2.9637260781759291E-2</v>
      </c>
      <c r="I231">
        <f t="shared" si="18"/>
        <v>23.74157558266219</v>
      </c>
      <c r="J231">
        <f t="shared" si="19"/>
        <v>20.481395836453167</v>
      </c>
      <c r="K231">
        <v>5.4549999999999998E-3</v>
      </c>
    </row>
    <row r="232" spans="1:11" ht="15" x14ac:dyDescent="0.25">
      <c r="A232" s="1" t="s">
        <v>5</v>
      </c>
      <c r="B232" s="1" t="s">
        <v>228</v>
      </c>
      <c r="C232" s="1">
        <v>40.4</v>
      </c>
      <c r="D232" s="1">
        <v>40.1</v>
      </c>
      <c r="E232" s="1">
        <v>24.23</v>
      </c>
      <c r="F232" s="5">
        <f t="shared" si="15"/>
        <v>45470.520844907405</v>
      </c>
      <c r="G232" s="3">
        <f t="shared" si="16"/>
        <v>7.5412877307275555E-2</v>
      </c>
      <c r="H232" s="3">
        <f t="shared" si="17"/>
        <v>3.0240563800217498E-2</v>
      </c>
      <c r="I232">
        <f t="shared" si="18"/>
        <v>24.072991069342532</v>
      </c>
      <c r="J232">
        <f t="shared" si="19"/>
        <v>20.898319924727023</v>
      </c>
      <c r="K232">
        <v>6.3720000000000001E-3</v>
      </c>
    </row>
    <row r="233" spans="1:11" ht="15" x14ac:dyDescent="0.25">
      <c r="A233" s="1" t="s">
        <v>5</v>
      </c>
      <c r="B233" s="1" t="s">
        <v>229</v>
      </c>
      <c r="C233" s="1">
        <v>40.5</v>
      </c>
      <c r="D233" s="1">
        <v>39.799999999999997</v>
      </c>
      <c r="E233" s="1">
        <v>24.19</v>
      </c>
      <c r="F233" s="5">
        <f t="shared" si="15"/>
        <v>45470.52107638889</v>
      </c>
      <c r="G233" s="3">
        <f t="shared" si="16"/>
        <v>7.5814782591012389E-2</v>
      </c>
      <c r="H233" s="3">
        <f t="shared" si="17"/>
        <v>3.0174283471222928E-2</v>
      </c>
      <c r="I233">
        <f t="shared" si="18"/>
        <v>24.036867878845776</v>
      </c>
      <c r="J233">
        <f t="shared" si="19"/>
        <v>20.845867296736611</v>
      </c>
      <c r="K233">
        <v>5.8539999999999998E-3</v>
      </c>
    </row>
    <row r="234" spans="1:11" ht="15" x14ac:dyDescent="0.25">
      <c r="A234" s="1" t="s">
        <v>5</v>
      </c>
      <c r="B234" s="1" t="s">
        <v>230</v>
      </c>
      <c r="C234" s="1">
        <v>40.5</v>
      </c>
      <c r="D234" s="1">
        <v>40.6</v>
      </c>
      <c r="E234" s="1">
        <v>24.52</v>
      </c>
      <c r="F234" s="5">
        <f t="shared" si="15"/>
        <v>45470.521307870367</v>
      </c>
      <c r="G234" s="3">
        <f t="shared" si="16"/>
        <v>7.5814782591012389E-2</v>
      </c>
      <c r="H234" s="3">
        <f t="shared" si="17"/>
        <v>3.0780801731951031E-2</v>
      </c>
      <c r="I234">
        <f t="shared" si="18"/>
        <v>24.364845128523896</v>
      </c>
      <c r="J234">
        <f t="shared" si="19"/>
        <v>21.264879704711216</v>
      </c>
      <c r="K234">
        <v>5.6109999999999997E-3</v>
      </c>
    </row>
    <row r="235" spans="1:11" ht="15" x14ac:dyDescent="0.25">
      <c r="A235" s="1" t="s">
        <v>5</v>
      </c>
      <c r="B235" s="1" t="s">
        <v>231</v>
      </c>
      <c r="C235" s="1">
        <v>40.5</v>
      </c>
      <c r="D235" s="1">
        <v>39</v>
      </c>
      <c r="E235" s="1">
        <v>23.85</v>
      </c>
      <c r="F235" s="5">
        <f t="shared" si="15"/>
        <v>45470.521539351852</v>
      </c>
      <c r="G235" s="3">
        <f t="shared" si="16"/>
        <v>7.5814782591012389E-2</v>
      </c>
      <c r="H235" s="3">
        <f t="shared" si="17"/>
        <v>2.9567765210494833E-2</v>
      </c>
      <c r="I235">
        <f t="shared" si="18"/>
        <v>23.703017483062155</v>
      </c>
      <c r="J235">
        <f t="shared" si="19"/>
        <v>20.426854888762005</v>
      </c>
      <c r="K235">
        <v>6.3119999999999999E-3</v>
      </c>
    </row>
    <row r="236" spans="1:11" ht="15" x14ac:dyDescent="0.25">
      <c r="A236" s="1" t="s">
        <v>5</v>
      </c>
      <c r="B236" s="1" t="s">
        <v>232</v>
      </c>
      <c r="C236" s="1">
        <v>40.5</v>
      </c>
      <c r="D236" s="1">
        <v>38.6</v>
      </c>
      <c r="E236" s="1">
        <v>23.68</v>
      </c>
      <c r="F236" s="5">
        <f t="shared" si="15"/>
        <v>45470.521770833337</v>
      </c>
      <c r="G236" s="3">
        <f t="shared" si="16"/>
        <v>7.5814782591012389E-2</v>
      </c>
      <c r="H236" s="3">
        <f t="shared" si="17"/>
        <v>2.926450608013078E-2</v>
      </c>
      <c r="I236">
        <f t="shared" si="18"/>
        <v>23.533818544041921</v>
      </c>
      <c r="J236">
        <f t="shared" si="19"/>
        <v>20.217348684774702</v>
      </c>
      <c r="K236">
        <v>6.0590000000000001E-3</v>
      </c>
    </row>
    <row r="237" spans="1:11" ht="15" x14ac:dyDescent="0.25">
      <c r="A237" s="1" t="s">
        <v>5</v>
      </c>
      <c r="B237" s="1" t="s">
        <v>233</v>
      </c>
      <c r="C237" s="1">
        <v>40.5</v>
      </c>
      <c r="D237" s="1">
        <v>39.6</v>
      </c>
      <c r="E237" s="1">
        <v>24.11</v>
      </c>
      <c r="F237" s="5">
        <f t="shared" si="15"/>
        <v>45470.522002314814</v>
      </c>
      <c r="G237" s="3">
        <f t="shared" si="16"/>
        <v>7.5814782591012389E-2</v>
      </c>
      <c r="H237" s="3">
        <f t="shared" si="17"/>
        <v>3.0022653906040909E-2</v>
      </c>
      <c r="I237">
        <f t="shared" si="18"/>
        <v>23.953964638315277</v>
      </c>
      <c r="J237">
        <f t="shared" si="19"/>
        <v>20.741114194742963</v>
      </c>
      <c r="K237">
        <v>5.9899999999999997E-3</v>
      </c>
    </row>
    <row r="238" spans="1:11" ht="15" x14ac:dyDescent="0.25">
      <c r="A238" s="1" t="s">
        <v>5</v>
      </c>
      <c r="B238" s="1" t="s">
        <v>234</v>
      </c>
      <c r="C238" s="1">
        <v>40.5</v>
      </c>
      <c r="D238" s="1">
        <v>39.1</v>
      </c>
      <c r="E238" s="1">
        <v>23.9</v>
      </c>
      <c r="F238" s="5">
        <f t="shared" si="15"/>
        <v>45470.522233796299</v>
      </c>
      <c r="G238" s="3">
        <f t="shared" si="16"/>
        <v>7.5814782591012389E-2</v>
      </c>
      <c r="H238" s="3">
        <f t="shared" si="17"/>
        <v>2.9643579993085846E-2</v>
      </c>
      <c r="I238">
        <f t="shared" si="18"/>
        <v>23.745077697891169</v>
      </c>
      <c r="J238">
        <f t="shared" si="19"/>
        <v>20.479231439758834</v>
      </c>
      <c r="K238">
        <v>6.0489999999999997E-3</v>
      </c>
    </row>
    <row r="239" spans="1:11" ht="15" x14ac:dyDescent="0.25">
      <c r="A239" s="1" t="s">
        <v>5</v>
      </c>
      <c r="B239" s="1" t="s">
        <v>235</v>
      </c>
      <c r="C239" s="1">
        <v>40.5</v>
      </c>
      <c r="D239" s="1">
        <v>38.299999999999997</v>
      </c>
      <c r="E239" s="1">
        <v>23.55</v>
      </c>
      <c r="F239" s="5">
        <f t="shared" si="15"/>
        <v>45470.522465277776</v>
      </c>
      <c r="G239" s="3">
        <f t="shared" si="16"/>
        <v>7.5814782591012389E-2</v>
      </c>
      <c r="H239" s="3">
        <f t="shared" si="17"/>
        <v>2.9037061732357743E-2</v>
      </c>
      <c r="I239">
        <f t="shared" si="18"/>
        <v>23.405900169325179</v>
      </c>
      <c r="J239">
        <f t="shared" si="19"/>
        <v>20.060219031784221</v>
      </c>
      <c r="K239">
        <v>5.182E-3</v>
      </c>
    </row>
    <row r="240" spans="1:11" ht="15" x14ac:dyDescent="0.25">
      <c r="A240" s="1" t="s">
        <v>5</v>
      </c>
      <c r="B240" s="1" t="s">
        <v>236</v>
      </c>
      <c r="C240" s="1">
        <v>40.5</v>
      </c>
      <c r="D240" s="1">
        <v>39.5</v>
      </c>
      <c r="E240" s="1">
        <v>24.07</v>
      </c>
      <c r="F240" s="5">
        <f t="shared" si="15"/>
        <v>45470.522696759261</v>
      </c>
      <c r="G240" s="3">
        <f t="shared" si="16"/>
        <v>7.5814782591012389E-2</v>
      </c>
      <c r="H240" s="3">
        <f t="shared" si="17"/>
        <v>2.9946839123449896E-2</v>
      </c>
      <c r="I240">
        <f t="shared" si="18"/>
        <v>23.912374294324977</v>
      </c>
      <c r="J240">
        <f t="shared" si="19"/>
        <v>20.688737643746133</v>
      </c>
      <c r="K240">
        <v>6.4840000000000002E-3</v>
      </c>
    </row>
    <row r="241" spans="1:11" ht="15" x14ac:dyDescent="0.25">
      <c r="A241" s="1" t="s">
        <v>5</v>
      </c>
      <c r="B241" s="1" t="s">
        <v>237</v>
      </c>
      <c r="C241" s="1">
        <v>40.5</v>
      </c>
      <c r="D241" s="1">
        <v>38.5</v>
      </c>
      <c r="E241" s="1">
        <v>23.64</v>
      </c>
      <c r="F241" s="5">
        <f t="shared" si="15"/>
        <v>45470.522928240738</v>
      </c>
      <c r="G241" s="3">
        <f t="shared" si="16"/>
        <v>7.5814782591012389E-2</v>
      </c>
      <c r="H241" s="3">
        <f t="shared" si="17"/>
        <v>2.918869129753977E-2</v>
      </c>
      <c r="I241">
        <f t="shared" si="18"/>
        <v>23.491276943419397</v>
      </c>
      <c r="J241">
        <f t="shared" si="19"/>
        <v>20.164972133777876</v>
      </c>
      <c r="K241">
        <v>5.45E-3</v>
      </c>
    </row>
    <row r="242" spans="1:11" ht="15" x14ac:dyDescent="0.25">
      <c r="A242" s="1" t="s">
        <v>5</v>
      </c>
      <c r="B242" s="1" t="s">
        <v>238</v>
      </c>
      <c r="C242" s="1">
        <v>40.5</v>
      </c>
      <c r="D242" s="1">
        <v>39.1</v>
      </c>
      <c r="E242" s="1">
        <v>23.9</v>
      </c>
      <c r="F242" s="5">
        <f t="shared" si="15"/>
        <v>45470.523159722223</v>
      </c>
      <c r="G242" s="3">
        <f t="shared" si="16"/>
        <v>7.5814782591012389E-2</v>
      </c>
      <c r="H242" s="3">
        <f t="shared" si="17"/>
        <v>2.9643579993085846E-2</v>
      </c>
      <c r="I242">
        <f t="shared" si="18"/>
        <v>23.745077697891169</v>
      </c>
      <c r="J242">
        <f t="shared" si="19"/>
        <v>20.479231439758834</v>
      </c>
      <c r="K242">
        <v>5.7039999999999999E-3</v>
      </c>
    </row>
    <row r="243" spans="1:11" ht="15" x14ac:dyDescent="0.25">
      <c r="A243" s="1" t="s">
        <v>5</v>
      </c>
      <c r="B243" s="1" t="s">
        <v>239</v>
      </c>
      <c r="C243" s="1">
        <v>40.5</v>
      </c>
      <c r="D243" s="1">
        <v>38.1</v>
      </c>
      <c r="E243" s="1">
        <v>23.47</v>
      </c>
      <c r="F243" s="5">
        <f t="shared" si="15"/>
        <v>45470.5233912037</v>
      </c>
      <c r="G243" s="3">
        <f t="shared" si="16"/>
        <v>7.5814782591012389E-2</v>
      </c>
      <c r="H243" s="3">
        <f t="shared" si="17"/>
        <v>2.888543216717572E-2</v>
      </c>
      <c r="I243">
        <f t="shared" si="18"/>
        <v>23.320128735603511</v>
      </c>
      <c r="J243">
        <f t="shared" si="19"/>
        <v>19.955465929790577</v>
      </c>
      <c r="K243">
        <v>5.7460000000000002E-3</v>
      </c>
    </row>
    <row r="244" spans="1:11" ht="15" x14ac:dyDescent="0.25">
      <c r="A244" s="1" t="s">
        <v>5</v>
      </c>
      <c r="B244" s="1" t="s">
        <v>240</v>
      </c>
      <c r="C244" s="1">
        <v>40.5</v>
      </c>
      <c r="D244" s="1">
        <v>38.799999999999997</v>
      </c>
      <c r="E244" s="1">
        <v>23.77</v>
      </c>
      <c r="F244" s="5">
        <f t="shared" si="15"/>
        <v>45470.523622685185</v>
      </c>
      <c r="G244" s="3">
        <f t="shared" si="16"/>
        <v>7.5814782591012389E-2</v>
      </c>
      <c r="H244" s="3">
        <f t="shared" si="17"/>
        <v>2.9416135645312806E-2</v>
      </c>
      <c r="I244">
        <f t="shared" si="18"/>
        <v>23.618610562620191</v>
      </c>
      <c r="J244">
        <f t="shared" si="19"/>
        <v>20.322101786768354</v>
      </c>
      <c r="K244">
        <v>6.0749999999999997E-3</v>
      </c>
    </row>
    <row r="245" spans="1:11" ht="15" x14ac:dyDescent="0.25">
      <c r="A245" s="1" t="s">
        <v>5</v>
      </c>
      <c r="B245" s="1" t="s">
        <v>241</v>
      </c>
      <c r="C245" s="1">
        <v>40.5</v>
      </c>
      <c r="D245" s="1">
        <v>44.4</v>
      </c>
      <c r="E245" s="1">
        <v>26.03</v>
      </c>
      <c r="F245" s="5">
        <f t="shared" si="15"/>
        <v>45470.523854166669</v>
      </c>
      <c r="G245" s="3">
        <f t="shared" si="16"/>
        <v>7.5814782591012389E-2</v>
      </c>
      <c r="H245" s="3">
        <f t="shared" si="17"/>
        <v>3.36617634704095E-2</v>
      </c>
      <c r="I245">
        <f t="shared" si="18"/>
        <v>25.848864111081529</v>
      </c>
      <c r="J245">
        <f t="shared" si="19"/>
        <v>23.255188642590589</v>
      </c>
      <c r="K245">
        <v>5.8859999999999997E-3</v>
      </c>
    </row>
    <row r="246" spans="1:11" ht="15" x14ac:dyDescent="0.25">
      <c r="A246" s="1" t="s">
        <v>5</v>
      </c>
      <c r="B246" s="1" t="s">
        <v>242</v>
      </c>
      <c r="C246" s="1">
        <v>40.6</v>
      </c>
      <c r="D246" s="1">
        <v>55.6</v>
      </c>
      <c r="E246" s="1">
        <v>29.98</v>
      </c>
      <c r="F246" s="5">
        <f t="shared" si="15"/>
        <v>45470.524085648147</v>
      </c>
      <c r="G246" s="3">
        <f t="shared" si="16"/>
        <v>7.6218535824478031E-2</v>
      </c>
      <c r="H246" s="3">
        <f t="shared" si="17"/>
        <v>4.2377505918409789E-2</v>
      </c>
      <c r="I246">
        <f t="shared" si="18"/>
        <v>29.740931203789501</v>
      </c>
      <c r="J246">
        <f t="shared" si="19"/>
        <v>29.267117648347309</v>
      </c>
      <c r="K246">
        <v>7.3419999999999996E-3</v>
      </c>
    </row>
    <row r="247" spans="1:11" ht="15" x14ac:dyDescent="0.25">
      <c r="A247" s="1" t="s">
        <v>5</v>
      </c>
      <c r="B247" s="1" t="s">
        <v>243</v>
      </c>
      <c r="C247" s="1">
        <v>40.6</v>
      </c>
      <c r="D247" s="1">
        <v>50.2</v>
      </c>
      <c r="E247" s="1">
        <v>28.21</v>
      </c>
      <c r="F247" s="5">
        <f t="shared" si="15"/>
        <v>45470.524317129632</v>
      </c>
      <c r="G247" s="3">
        <f t="shared" si="16"/>
        <v>7.6218535824478031E-2</v>
      </c>
      <c r="H247" s="3">
        <f t="shared" si="17"/>
        <v>3.8261704983887972E-2</v>
      </c>
      <c r="I247">
        <f t="shared" si="18"/>
        <v>28.000821210119813</v>
      </c>
      <c r="J247">
        <f t="shared" si="19"/>
        <v>26.424627804802785</v>
      </c>
      <c r="K247">
        <v>6.6680000000000003E-3</v>
      </c>
    </row>
    <row r="248" spans="1:11" ht="15" x14ac:dyDescent="0.25">
      <c r="A248" s="1" t="s">
        <v>5</v>
      </c>
      <c r="B248" s="1" t="s">
        <v>244</v>
      </c>
      <c r="C248" s="1">
        <v>40.5</v>
      </c>
      <c r="D248" s="1">
        <v>44.4</v>
      </c>
      <c r="E248" s="1">
        <v>26.03</v>
      </c>
      <c r="F248" s="5">
        <f t="shared" si="15"/>
        <v>45470.524548611109</v>
      </c>
      <c r="G248" s="3">
        <f t="shared" si="16"/>
        <v>7.5814782591012389E-2</v>
      </c>
      <c r="H248" s="3">
        <f t="shared" si="17"/>
        <v>3.36617634704095E-2</v>
      </c>
      <c r="I248">
        <f t="shared" si="18"/>
        <v>25.848864111081529</v>
      </c>
      <c r="J248">
        <f t="shared" si="19"/>
        <v>23.255188642590589</v>
      </c>
      <c r="K248">
        <v>6.7510000000000001E-3</v>
      </c>
    </row>
    <row r="249" spans="1:11" ht="15" x14ac:dyDescent="0.25">
      <c r="A249" s="1" t="s">
        <v>5</v>
      </c>
      <c r="B249" s="1" t="s">
        <v>245</v>
      </c>
      <c r="C249" s="1">
        <v>40.4</v>
      </c>
      <c r="D249" s="1">
        <v>44.1</v>
      </c>
      <c r="E249" s="1">
        <v>25.82</v>
      </c>
      <c r="F249" s="5">
        <f t="shared" si="15"/>
        <v>45470.524780092594</v>
      </c>
      <c r="G249" s="3">
        <f t="shared" si="16"/>
        <v>7.5412877307275555E-2</v>
      </c>
      <c r="H249" s="3">
        <f t="shared" si="17"/>
        <v>3.3257078892508521E-2</v>
      </c>
      <c r="I249">
        <f t="shared" si="18"/>
        <v>25.647337306537974</v>
      </c>
      <c r="J249">
        <f t="shared" si="19"/>
        <v>22.982940366096305</v>
      </c>
      <c r="K249">
        <v>6.2449999999999997E-3</v>
      </c>
    </row>
    <row r="250" spans="1:11" ht="15" x14ac:dyDescent="0.25">
      <c r="A250" s="1" t="s">
        <v>5</v>
      </c>
      <c r="B250" s="1" t="s">
        <v>246</v>
      </c>
      <c r="C250" s="1">
        <v>40.4</v>
      </c>
      <c r="D250" s="1">
        <v>43.3</v>
      </c>
      <c r="E250" s="1">
        <v>25.51</v>
      </c>
      <c r="F250" s="5">
        <f t="shared" si="15"/>
        <v>45470.525011574071</v>
      </c>
      <c r="G250" s="3">
        <f t="shared" si="16"/>
        <v>7.5412877307275555E-2</v>
      </c>
      <c r="H250" s="3">
        <f t="shared" si="17"/>
        <v>3.2653775874050314E-2</v>
      </c>
      <c r="I250">
        <f t="shared" si="18"/>
        <v>25.34284753398644</v>
      </c>
      <c r="J250">
        <f t="shared" si="19"/>
        <v>22.566016277822445</v>
      </c>
      <c r="K250">
        <v>6.9449999999999998E-3</v>
      </c>
    </row>
    <row r="251" spans="1:11" ht="15" x14ac:dyDescent="0.25">
      <c r="A251" s="1" t="s">
        <v>5</v>
      </c>
      <c r="B251" s="1" t="s">
        <v>247</v>
      </c>
      <c r="C251" s="1">
        <v>40.299999999999997</v>
      </c>
      <c r="D251" s="1">
        <v>44.2</v>
      </c>
      <c r="E251" s="1">
        <v>25.77</v>
      </c>
      <c r="F251" s="5">
        <f t="shared" si="15"/>
        <v>45470.525243055556</v>
      </c>
      <c r="G251" s="3">
        <f t="shared" si="16"/>
        <v>7.5012812977162432E-2</v>
      </c>
      <c r="H251" s="3">
        <f t="shared" si="17"/>
        <v>3.3155663335905798E-2</v>
      </c>
      <c r="I251">
        <f t="shared" si="18"/>
        <v>25.596494991571777</v>
      </c>
      <c r="J251">
        <f t="shared" si="19"/>
        <v>22.920165097863833</v>
      </c>
      <c r="K251">
        <v>5.9069999999999999E-3</v>
      </c>
    </row>
    <row r="252" spans="1:11" ht="15" x14ac:dyDescent="0.25">
      <c r="A252" s="1" t="s">
        <v>5</v>
      </c>
      <c r="B252" s="1" t="s">
        <v>248</v>
      </c>
      <c r="C252" s="1">
        <v>40.299999999999997</v>
      </c>
      <c r="D252" s="1">
        <v>43.3</v>
      </c>
      <c r="E252" s="1">
        <v>25.42</v>
      </c>
      <c r="F252" s="5">
        <f t="shared" si="15"/>
        <v>45470.52547453704</v>
      </c>
      <c r="G252" s="3">
        <f t="shared" si="16"/>
        <v>7.5012812977162432E-2</v>
      </c>
      <c r="H252" s="3">
        <f t="shared" si="17"/>
        <v>3.2480548019111335E-2</v>
      </c>
      <c r="I252">
        <f t="shared" si="18"/>
        <v>25.254501482130248</v>
      </c>
      <c r="J252">
        <f t="shared" si="19"/>
        <v>22.453464903563436</v>
      </c>
      <c r="K252">
        <v>6.0070000000000002E-3</v>
      </c>
    </row>
    <row r="253" spans="1:11" ht="15" x14ac:dyDescent="0.25">
      <c r="A253" s="1" t="s">
        <v>5</v>
      </c>
      <c r="B253" s="1" t="s">
        <v>249</v>
      </c>
      <c r="C253" s="1">
        <v>40.299999999999997</v>
      </c>
      <c r="D253" s="1">
        <v>44.1</v>
      </c>
      <c r="E253" s="1">
        <v>25.73</v>
      </c>
      <c r="F253" s="5">
        <f t="shared" si="15"/>
        <v>45470.525706018518</v>
      </c>
      <c r="G253" s="3">
        <f t="shared" si="16"/>
        <v>7.5012812977162432E-2</v>
      </c>
      <c r="H253" s="3">
        <f t="shared" si="17"/>
        <v>3.3080650522928634E-2</v>
      </c>
      <c r="I253">
        <f t="shared" si="18"/>
        <v>25.558800724517273</v>
      </c>
      <c r="J253">
        <f t="shared" si="19"/>
        <v>22.86830952071934</v>
      </c>
      <c r="K253">
        <v>6.816E-3</v>
      </c>
    </row>
    <row r="254" spans="1:11" ht="15" x14ac:dyDescent="0.25">
      <c r="A254" s="1" t="s">
        <v>5</v>
      </c>
      <c r="B254" s="1" t="s">
        <v>250</v>
      </c>
      <c r="C254" s="1">
        <v>40.299999999999997</v>
      </c>
      <c r="D254" s="1">
        <v>44.1</v>
      </c>
      <c r="E254" s="1">
        <v>25.73</v>
      </c>
      <c r="F254" s="5">
        <f t="shared" si="15"/>
        <v>45470.525937500002</v>
      </c>
      <c r="G254" s="3">
        <f t="shared" si="16"/>
        <v>7.5012812977162432E-2</v>
      </c>
      <c r="H254" s="3">
        <f t="shared" si="17"/>
        <v>3.3080650522928634E-2</v>
      </c>
      <c r="I254">
        <f t="shared" si="18"/>
        <v>25.558800724517273</v>
      </c>
      <c r="J254">
        <f t="shared" si="19"/>
        <v>22.86830952071934</v>
      </c>
      <c r="K254">
        <v>6.1399999999999996E-3</v>
      </c>
    </row>
    <row r="255" spans="1:11" ht="15" x14ac:dyDescent="0.25">
      <c r="A255" s="1" t="s">
        <v>5</v>
      </c>
      <c r="B255" s="1" t="s">
        <v>251</v>
      </c>
      <c r="C255" s="1">
        <v>40.4</v>
      </c>
      <c r="D255" s="1">
        <v>44.2</v>
      </c>
      <c r="E255" s="1">
        <v>25.86</v>
      </c>
      <c r="F255" s="5">
        <f t="shared" si="15"/>
        <v>45470.52616898148</v>
      </c>
      <c r="G255" s="3">
        <f t="shared" si="16"/>
        <v>7.5412877307275555E-2</v>
      </c>
      <c r="H255" s="3">
        <f t="shared" si="17"/>
        <v>3.33324917698158E-2</v>
      </c>
      <c r="I255">
        <f t="shared" si="18"/>
        <v>25.685055189304951</v>
      </c>
      <c r="J255">
        <f t="shared" si="19"/>
        <v>23.035055877130542</v>
      </c>
      <c r="K255">
        <v>6.4850000000000003E-3</v>
      </c>
    </row>
    <row r="256" spans="1:11" ht="15" x14ac:dyDescent="0.25">
      <c r="A256" s="1" t="s">
        <v>5</v>
      </c>
      <c r="B256" s="1" t="s">
        <v>252</v>
      </c>
      <c r="C256" s="1">
        <v>40.4</v>
      </c>
      <c r="D256" s="1">
        <v>45.2</v>
      </c>
      <c r="E256" s="1">
        <v>26.24</v>
      </c>
      <c r="F256" s="5">
        <f t="shared" si="15"/>
        <v>45470.526400462964</v>
      </c>
      <c r="G256" s="3">
        <f t="shared" si="16"/>
        <v>7.5412877307275555E-2</v>
      </c>
      <c r="H256" s="3">
        <f t="shared" si="17"/>
        <v>3.4086620542888552E-2</v>
      </c>
      <c r="I256">
        <f t="shared" si="18"/>
        <v>26.058149711039547</v>
      </c>
      <c r="J256">
        <f t="shared" si="19"/>
        <v>23.556210987472856</v>
      </c>
      <c r="K256">
        <v>6.5779999999999996E-3</v>
      </c>
    </row>
    <row r="257" spans="1:11" ht="15" x14ac:dyDescent="0.25">
      <c r="A257" s="1" t="s">
        <v>5</v>
      </c>
      <c r="B257" s="1" t="s">
        <v>253</v>
      </c>
      <c r="C257" s="1">
        <v>40.4</v>
      </c>
      <c r="D257" s="1">
        <v>46</v>
      </c>
      <c r="E257" s="1">
        <v>26.54</v>
      </c>
      <c r="F257" s="5">
        <f t="shared" si="15"/>
        <v>45470.526631944442</v>
      </c>
      <c r="G257" s="3">
        <f t="shared" si="16"/>
        <v>7.5412877307275555E-2</v>
      </c>
      <c r="H257" s="3">
        <f t="shared" si="17"/>
        <v>3.4689923561346758E-2</v>
      </c>
      <c r="I257">
        <f t="shared" si="18"/>
        <v>26.351419011045486</v>
      </c>
      <c r="J257">
        <f t="shared" si="19"/>
        <v>23.973135075746715</v>
      </c>
      <c r="K257">
        <v>7.1050000000000002E-3</v>
      </c>
    </row>
    <row r="258" spans="1:11" ht="15" x14ac:dyDescent="0.25">
      <c r="A258" s="1" t="s">
        <v>5</v>
      </c>
      <c r="B258" s="1" t="s">
        <v>254</v>
      </c>
      <c r="C258" s="1">
        <v>40.5</v>
      </c>
      <c r="D258" s="1">
        <v>46</v>
      </c>
      <c r="E258" s="1">
        <v>26.63</v>
      </c>
      <c r="F258" s="5">
        <f t="shared" si="15"/>
        <v>45470.526863425926</v>
      </c>
      <c r="G258" s="3">
        <f t="shared" si="16"/>
        <v>7.5814782591012389E-2</v>
      </c>
      <c r="H258" s="3">
        <f t="shared" si="17"/>
        <v>3.4874799991865699E-2</v>
      </c>
      <c r="I258">
        <f t="shared" si="18"/>
        <v>26.440388193910884</v>
      </c>
      <c r="J258">
        <f t="shared" si="19"/>
        <v>24.0932134585398</v>
      </c>
      <c r="K258">
        <v>6.2350000000000001E-3</v>
      </c>
    </row>
    <row r="259" spans="1:11" ht="15" x14ac:dyDescent="0.25">
      <c r="A259" s="1" t="s">
        <v>5</v>
      </c>
      <c r="B259" s="1" t="s">
        <v>255</v>
      </c>
      <c r="C259" s="1">
        <v>40.5</v>
      </c>
      <c r="D259" s="1">
        <v>46.4</v>
      </c>
      <c r="E259" s="1">
        <v>26.77</v>
      </c>
      <c r="F259" s="5">
        <f t="shared" si="15"/>
        <v>45470.527094907404</v>
      </c>
      <c r="G259" s="3">
        <f t="shared" si="16"/>
        <v>7.5814782591012389E-2</v>
      </c>
      <c r="H259" s="3">
        <f t="shared" si="17"/>
        <v>3.5178059122229745E-2</v>
      </c>
      <c r="I259">
        <f t="shared" si="18"/>
        <v>26.585430659802821</v>
      </c>
      <c r="J259">
        <f t="shared" si="19"/>
        <v>24.302719662527103</v>
      </c>
      <c r="K259">
        <v>6.5960000000000003E-3</v>
      </c>
    </row>
    <row r="260" spans="1:11" ht="15" x14ac:dyDescent="0.25">
      <c r="A260" s="1" t="s">
        <v>5</v>
      </c>
      <c r="B260" s="1" t="s">
        <v>256</v>
      </c>
      <c r="C260" s="1">
        <v>40.5</v>
      </c>
      <c r="D260" s="1">
        <v>46.5</v>
      </c>
      <c r="E260" s="1">
        <v>26.81</v>
      </c>
      <c r="F260" s="5">
        <f t="shared" si="15"/>
        <v>45470.527326388888</v>
      </c>
      <c r="G260" s="3">
        <f t="shared" si="16"/>
        <v>7.5814782591012389E-2</v>
      </c>
      <c r="H260" s="3">
        <f t="shared" si="17"/>
        <v>3.5253873904820765E-2</v>
      </c>
      <c r="I260">
        <f t="shared" si="18"/>
        <v>26.621518941396182</v>
      </c>
      <c r="J260">
        <f t="shared" si="19"/>
        <v>24.355096213523932</v>
      </c>
      <c r="K260">
        <v>7.1650000000000004E-3</v>
      </c>
    </row>
    <row r="261" spans="1:11" ht="15" x14ac:dyDescent="0.25">
      <c r="A261" s="1" t="s">
        <v>5</v>
      </c>
      <c r="B261" s="1" t="s">
        <v>257</v>
      </c>
      <c r="C261" s="1">
        <v>40.6</v>
      </c>
      <c r="D261" s="1">
        <v>47.2</v>
      </c>
      <c r="E261" s="1">
        <v>27.15</v>
      </c>
      <c r="F261" s="5">
        <f t="shared" si="15"/>
        <v>45470.527557870373</v>
      </c>
      <c r="G261" s="3">
        <f t="shared" si="16"/>
        <v>7.6218535824478031E-2</v>
      </c>
      <c r="H261" s="3">
        <f t="shared" si="17"/>
        <v>3.5975148909153633E-2</v>
      </c>
      <c r="I261">
        <f t="shared" si="18"/>
        <v>26.961469458114422</v>
      </c>
      <c r="J261">
        <f t="shared" si="19"/>
        <v>24.845466780611382</v>
      </c>
      <c r="K261">
        <v>6.914E-3</v>
      </c>
    </row>
    <row r="262" spans="1:11" ht="15" x14ac:dyDescent="0.25">
      <c r="A262" s="1" t="s">
        <v>5</v>
      </c>
      <c r="B262" s="1" t="s">
        <v>258</v>
      </c>
      <c r="C262" s="1">
        <v>40.6</v>
      </c>
      <c r="D262" s="1">
        <v>46.7</v>
      </c>
      <c r="E262" s="1">
        <v>26.97</v>
      </c>
      <c r="F262" s="5">
        <f t="shared" si="15"/>
        <v>45470.527789351851</v>
      </c>
      <c r="G262" s="3">
        <f t="shared" si="16"/>
        <v>7.6218535824478031E-2</v>
      </c>
      <c r="H262" s="3">
        <f t="shared" si="17"/>
        <v>3.5594056230031243E-2</v>
      </c>
      <c r="I262">
        <f t="shared" si="18"/>
        <v>26.782609979497053</v>
      </c>
      <c r="J262">
        <f t="shared" si="19"/>
        <v>24.582273276579485</v>
      </c>
      <c r="K262">
        <v>7.4159999999999998E-3</v>
      </c>
    </row>
    <row r="263" spans="1:11" ht="15" x14ac:dyDescent="0.25">
      <c r="A263" s="1" t="s">
        <v>5</v>
      </c>
      <c r="B263" s="1" t="s">
        <v>259</v>
      </c>
      <c r="C263" s="1">
        <v>40.700000000000003</v>
      </c>
      <c r="D263" s="1">
        <v>46.8</v>
      </c>
      <c r="E263" s="1">
        <v>27.1</v>
      </c>
      <c r="F263" s="5">
        <f t="shared" si="15"/>
        <v>45470.528020833335</v>
      </c>
      <c r="G263" s="3">
        <f t="shared" si="16"/>
        <v>7.6624144023923632E-2</v>
      </c>
      <c r="H263" s="3">
        <f t="shared" si="17"/>
        <v>3.5860099403196261E-2</v>
      </c>
      <c r="I263">
        <f t="shared" si="18"/>
        <v>26.907649643535638</v>
      </c>
      <c r="J263">
        <f t="shared" si="19"/>
        <v>24.758119267177069</v>
      </c>
      <c r="K263">
        <v>6.5669999999999999E-3</v>
      </c>
    </row>
    <row r="264" spans="1:11" ht="15" x14ac:dyDescent="0.25">
      <c r="A264" s="1" t="s">
        <v>5</v>
      </c>
      <c r="B264" s="1" t="s">
        <v>260</v>
      </c>
      <c r="C264" s="1">
        <v>40.700000000000003</v>
      </c>
      <c r="D264" s="1">
        <v>46.8</v>
      </c>
      <c r="E264" s="1">
        <v>27.1</v>
      </c>
      <c r="F264" s="5">
        <f t="shared" si="15"/>
        <v>45470.528252314813</v>
      </c>
      <c r="G264" s="3">
        <f t="shared" si="16"/>
        <v>7.6624144023923632E-2</v>
      </c>
      <c r="H264" s="3">
        <f t="shared" si="17"/>
        <v>3.5860099403196261E-2</v>
      </c>
      <c r="I264">
        <f t="shared" si="18"/>
        <v>26.907649643535638</v>
      </c>
      <c r="J264">
        <f t="shared" si="19"/>
        <v>24.758119267177069</v>
      </c>
      <c r="K264">
        <v>6.2810000000000001E-3</v>
      </c>
    </row>
    <row r="265" spans="1:11" ht="15" x14ac:dyDescent="0.25">
      <c r="A265" s="1" t="s">
        <v>5</v>
      </c>
      <c r="B265" s="1" t="s">
        <v>261</v>
      </c>
      <c r="C265" s="1">
        <v>40.700000000000003</v>
      </c>
      <c r="D265" s="1">
        <v>46.4</v>
      </c>
      <c r="E265" s="1">
        <v>26.95</v>
      </c>
      <c r="F265" s="5">
        <f t="shared" si="15"/>
        <v>45470.528483796297</v>
      </c>
      <c r="G265" s="3">
        <f t="shared" si="16"/>
        <v>7.6624144023923632E-2</v>
      </c>
      <c r="H265" s="3">
        <f t="shared" si="17"/>
        <v>3.5553602827100565E-2</v>
      </c>
      <c r="I265">
        <f t="shared" si="18"/>
        <v>26.763524844331641</v>
      </c>
      <c r="J265">
        <f t="shared" si="19"/>
        <v>24.54651141019265</v>
      </c>
      <c r="K265">
        <v>7.4409999999999997E-3</v>
      </c>
    </row>
    <row r="266" spans="1:11" ht="15" x14ac:dyDescent="0.25">
      <c r="A266" s="1" t="s">
        <v>5</v>
      </c>
      <c r="B266" s="1" t="s">
        <v>262</v>
      </c>
      <c r="C266" s="1">
        <v>40.799999999999997</v>
      </c>
      <c r="D266" s="1">
        <v>46.4</v>
      </c>
      <c r="E266" s="1">
        <v>27.04</v>
      </c>
      <c r="F266" s="5">
        <f t="shared" ref="F266:F329" si="20">A266+B266</f>
        <v>45470.528715277775</v>
      </c>
      <c r="G266" s="3">
        <f t="shared" ref="G266:G329" si="21">$B$2*EXP(($B$3-C266/$B$5)*(C266/($B$4+C266)))</f>
        <v>7.7031614225780573E-2</v>
      </c>
      <c r="H266" s="3">
        <f t="shared" ref="H266:H329" si="22">D266*G266/100</f>
        <v>3.5742669000762187E-2</v>
      </c>
      <c r="I266">
        <f t="shared" ref="I266:I329" si="23">$B$4*LN(H266/$B$2)/($B$3-LN(H266/$B$2))</f>
        <v>26.852558819239885</v>
      </c>
      <c r="J266">
        <f t="shared" ref="J266:J329" si="24">1000*H266*100000/($B$6*(C266+273.15))</f>
        <v>24.669184130259431</v>
      </c>
      <c r="K266">
        <v>7.0780000000000001E-3</v>
      </c>
    </row>
    <row r="267" spans="1:11" ht="15" x14ac:dyDescent="0.25">
      <c r="A267" s="1" t="s">
        <v>5</v>
      </c>
      <c r="B267" s="1" t="s">
        <v>263</v>
      </c>
      <c r="C267" s="1">
        <v>40.799999999999997</v>
      </c>
      <c r="D267" s="1">
        <v>47</v>
      </c>
      <c r="E267" s="1">
        <v>27.26</v>
      </c>
      <c r="F267" s="5">
        <f t="shared" si="20"/>
        <v>45470.528946759259</v>
      </c>
      <c r="G267" s="3">
        <f t="shared" si="21"/>
        <v>7.7031614225780573E-2</v>
      </c>
      <c r="H267" s="3">
        <f t="shared" si="22"/>
        <v>3.6204858686116871E-2</v>
      </c>
      <c r="I267">
        <f t="shared" si="23"/>
        <v>27.06847456658739</v>
      </c>
      <c r="J267">
        <f t="shared" si="24"/>
        <v>24.988182200909343</v>
      </c>
      <c r="K267">
        <v>6.6670000000000002E-3</v>
      </c>
    </row>
    <row r="268" spans="1:11" ht="15" x14ac:dyDescent="0.25">
      <c r="A268" s="1" t="s">
        <v>5</v>
      </c>
      <c r="B268" s="1" t="s">
        <v>264</v>
      </c>
      <c r="C268" s="1">
        <v>40.799999999999997</v>
      </c>
      <c r="D268" s="1">
        <v>47</v>
      </c>
      <c r="E268" s="1">
        <v>27.26</v>
      </c>
      <c r="F268" s="5">
        <f t="shared" si="20"/>
        <v>45470.529178240744</v>
      </c>
      <c r="G268" s="3">
        <f t="shared" si="21"/>
        <v>7.7031614225780573E-2</v>
      </c>
      <c r="H268" s="3">
        <f t="shared" si="22"/>
        <v>3.6204858686116871E-2</v>
      </c>
      <c r="I268">
        <f t="shared" si="23"/>
        <v>27.06847456658739</v>
      </c>
      <c r="J268">
        <f t="shared" si="24"/>
        <v>24.988182200909343</v>
      </c>
      <c r="K268">
        <v>6.9890000000000004E-3</v>
      </c>
    </row>
    <row r="269" spans="1:11" ht="15" x14ac:dyDescent="0.25">
      <c r="A269" s="1" t="s">
        <v>5</v>
      </c>
      <c r="B269" s="1" t="s">
        <v>265</v>
      </c>
      <c r="C269" s="1">
        <v>40.799999999999997</v>
      </c>
      <c r="D269" s="1">
        <v>47.2</v>
      </c>
      <c r="E269" s="1">
        <v>27.34</v>
      </c>
      <c r="F269" s="5">
        <f t="shared" si="20"/>
        <v>45470.529409722221</v>
      </c>
      <c r="G269" s="3">
        <f t="shared" si="21"/>
        <v>7.7031614225780573E-2</v>
      </c>
      <c r="H269" s="3">
        <f t="shared" si="22"/>
        <v>3.6358921914568437E-2</v>
      </c>
      <c r="I269">
        <f t="shared" si="23"/>
        <v>27.139906584384285</v>
      </c>
      <c r="J269">
        <f t="shared" si="24"/>
        <v>25.094514891125975</v>
      </c>
      <c r="K269">
        <v>6.6649999999999999E-3</v>
      </c>
    </row>
    <row r="270" spans="1:11" ht="15" x14ac:dyDescent="0.25">
      <c r="A270" s="1" t="s">
        <v>5</v>
      </c>
      <c r="B270" s="1" t="s">
        <v>266</v>
      </c>
      <c r="C270" s="1">
        <v>40.799999999999997</v>
      </c>
      <c r="D270" s="1">
        <v>47</v>
      </c>
      <c r="E270" s="1">
        <v>27.26</v>
      </c>
      <c r="F270" s="5">
        <f t="shared" si="20"/>
        <v>45470.529641203706</v>
      </c>
      <c r="G270" s="3">
        <f t="shared" si="21"/>
        <v>7.7031614225780573E-2</v>
      </c>
      <c r="H270" s="3">
        <f t="shared" si="22"/>
        <v>3.6204858686116871E-2</v>
      </c>
      <c r="I270">
        <f t="shared" si="23"/>
        <v>27.06847456658739</v>
      </c>
      <c r="J270">
        <f t="shared" si="24"/>
        <v>24.988182200909343</v>
      </c>
      <c r="K270">
        <v>7.254E-3</v>
      </c>
    </row>
    <row r="271" spans="1:11" ht="15" x14ac:dyDescent="0.25">
      <c r="A271" s="1" t="s">
        <v>5</v>
      </c>
      <c r="B271" s="1" t="s">
        <v>267</v>
      </c>
      <c r="C271" s="1">
        <v>40.700000000000003</v>
      </c>
      <c r="D271" s="1">
        <v>46</v>
      </c>
      <c r="E271" s="1">
        <v>26.81</v>
      </c>
      <c r="F271" s="5">
        <f t="shared" si="20"/>
        <v>45470.529872685183</v>
      </c>
      <c r="G271" s="3">
        <f t="shared" si="21"/>
        <v>7.6624144023923632E-2</v>
      </c>
      <c r="H271" s="3">
        <f t="shared" si="22"/>
        <v>3.524710625100487E-2</v>
      </c>
      <c r="I271">
        <f t="shared" si="23"/>
        <v>26.618300281854978</v>
      </c>
      <c r="J271">
        <f t="shared" si="24"/>
        <v>24.334903553208235</v>
      </c>
      <c r="K271">
        <v>7.0679999999999996E-3</v>
      </c>
    </row>
    <row r="272" spans="1:11" ht="15" x14ac:dyDescent="0.25">
      <c r="A272" s="1" t="s">
        <v>5</v>
      </c>
      <c r="B272" s="1" t="s">
        <v>268</v>
      </c>
      <c r="C272" s="1">
        <v>40.700000000000003</v>
      </c>
      <c r="D272" s="1">
        <v>46.5</v>
      </c>
      <c r="E272" s="1">
        <v>26.99</v>
      </c>
      <c r="F272" s="5">
        <f t="shared" si="20"/>
        <v>45470.530104166668</v>
      </c>
      <c r="G272" s="3">
        <f t="shared" si="21"/>
        <v>7.6624144023923632E-2</v>
      </c>
      <c r="H272" s="3">
        <f t="shared" si="22"/>
        <v>3.5630226971124487E-2</v>
      </c>
      <c r="I272">
        <f t="shared" si="23"/>
        <v>26.799658448189351</v>
      </c>
      <c r="J272">
        <f t="shared" si="24"/>
        <v>24.599413374438754</v>
      </c>
      <c r="K272">
        <v>7.561E-3</v>
      </c>
    </row>
    <row r="273" spans="1:11" ht="15" x14ac:dyDescent="0.25">
      <c r="A273" s="1" t="s">
        <v>5</v>
      </c>
      <c r="B273" s="1" t="s">
        <v>269</v>
      </c>
      <c r="C273" s="1">
        <v>40.700000000000003</v>
      </c>
      <c r="D273" s="1">
        <v>46.8</v>
      </c>
      <c r="E273" s="1">
        <v>27.1</v>
      </c>
      <c r="F273" s="5">
        <f t="shared" si="20"/>
        <v>45470.530335648145</v>
      </c>
      <c r="G273" s="3">
        <f t="shared" si="21"/>
        <v>7.6624144023923632E-2</v>
      </c>
      <c r="H273" s="3">
        <f t="shared" si="22"/>
        <v>3.5860099403196261E-2</v>
      </c>
      <c r="I273">
        <f t="shared" si="23"/>
        <v>26.907649643535638</v>
      </c>
      <c r="J273">
        <f t="shared" si="24"/>
        <v>24.758119267177069</v>
      </c>
      <c r="K273">
        <v>6.973E-3</v>
      </c>
    </row>
    <row r="274" spans="1:11" ht="15" x14ac:dyDescent="0.25">
      <c r="A274" s="1" t="s">
        <v>5</v>
      </c>
      <c r="B274" s="1" t="s">
        <v>270</v>
      </c>
      <c r="C274" s="1">
        <v>40.700000000000003</v>
      </c>
      <c r="D274" s="1">
        <v>47.5</v>
      </c>
      <c r="E274" s="1">
        <v>27.35</v>
      </c>
      <c r="F274" s="5">
        <f t="shared" si="20"/>
        <v>45470.53056712963</v>
      </c>
      <c r="G274" s="3">
        <f t="shared" si="21"/>
        <v>7.6624144023923632E-2</v>
      </c>
      <c r="H274" s="3">
        <f t="shared" si="22"/>
        <v>3.6396468411363722E-2</v>
      </c>
      <c r="I274">
        <f t="shared" si="23"/>
        <v>27.157274717193783</v>
      </c>
      <c r="J274">
        <f t="shared" si="24"/>
        <v>25.128433016899802</v>
      </c>
      <c r="K274">
        <v>7.0949999999999997E-3</v>
      </c>
    </row>
    <row r="275" spans="1:11" ht="15" x14ac:dyDescent="0.25">
      <c r="A275" s="1" t="s">
        <v>5</v>
      </c>
      <c r="B275" s="1" t="s">
        <v>271</v>
      </c>
      <c r="C275" s="1">
        <v>40.700000000000003</v>
      </c>
      <c r="D275" s="1">
        <v>47.5</v>
      </c>
      <c r="E275" s="1">
        <v>27.35</v>
      </c>
      <c r="F275" s="5">
        <f t="shared" si="20"/>
        <v>45470.530798611115</v>
      </c>
      <c r="G275" s="3">
        <f t="shared" si="21"/>
        <v>7.6624144023923632E-2</v>
      </c>
      <c r="H275" s="3">
        <f t="shared" si="22"/>
        <v>3.6396468411363722E-2</v>
      </c>
      <c r="I275">
        <f t="shared" si="23"/>
        <v>27.157274717193783</v>
      </c>
      <c r="J275">
        <f t="shared" si="24"/>
        <v>25.128433016899802</v>
      </c>
      <c r="K275">
        <v>5.9930000000000001E-3</v>
      </c>
    </row>
    <row r="276" spans="1:11" ht="15" x14ac:dyDescent="0.25">
      <c r="A276" s="1" t="s">
        <v>5</v>
      </c>
      <c r="B276" s="1" t="s">
        <v>272</v>
      </c>
      <c r="C276" s="1">
        <v>40.700000000000003</v>
      </c>
      <c r="D276" s="1">
        <v>47.3</v>
      </c>
      <c r="E276" s="1">
        <v>27.28</v>
      </c>
      <c r="F276" s="5">
        <f t="shared" si="20"/>
        <v>45470.531030092592</v>
      </c>
      <c r="G276" s="3">
        <f t="shared" si="21"/>
        <v>7.6624144023923632E-2</v>
      </c>
      <c r="H276" s="3">
        <f t="shared" si="22"/>
        <v>3.6243220123315878E-2</v>
      </c>
      <c r="I276">
        <f t="shared" si="23"/>
        <v>27.08628601698091</v>
      </c>
      <c r="J276">
        <f t="shared" si="24"/>
        <v>25.022629088407594</v>
      </c>
      <c r="K276">
        <v>6.8300000000000001E-3</v>
      </c>
    </row>
    <row r="277" spans="1:11" ht="15" x14ac:dyDescent="0.25">
      <c r="A277" s="1" t="s">
        <v>5</v>
      </c>
      <c r="B277" s="1" t="s">
        <v>273</v>
      </c>
      <c r="C277" s="1">
        <v>40.700000000000003</v>
      </c>
      <c r="D277" s="1">
        <v>46.8</v>
      </c>
      <c r="E277" s="1">
        <v>27.1</v>
      </c>
      <c r="F277" s="5">
        <f t="shared" si="20"/>
        <v>45470.531261574077</v>
      </c>
      <c r="G277" s="3">
        <f t="shared" si="21"/>
        <v>7.6624144023923632E-2</v>
      </c>
      <c r="H277" s="3">
        <f t="shared" si="22"/>
        <v>3.5860099403196261E-2</v>
      </c>
      <c r="I277">
        <f t="shared" si="23"/>
        <v>26.907649643535638</v>
      </c>
      <c r="J277">
        <f t="shared" si="24"/>
        <v>24.758119267177069</v>
      </c>
      <c r="K277">
        <v>6.7970000000000001E-3</v>
      </c>
    </row>
    <row r="278" spans="1:11" ht="15" x14ac:dyDescent="0.25">
      <c r="A278" s="1" t="s">
        <v>5</v>
      </c>
      <c r="B278" s="1" t="s">
        <v>274</v>
      </c>
      <c r="C278" s="1">
        <v>40.700000000000003</v>
      </c>
      <c r="D278" s="1">
        <v>47.2</v>
      </c>
      <c r="E278" s="1">
        <v>27.25</v>
      </c>
      <c r="F278" s="5">
        <f t="shared" si="20"/>
        <v>45470.531493055554</v>
      </c>
      <c r="G278" s="3">
        <f t="shared" si="21"/>
        <v>7.6624144023923632E-2</v>
      </c>
      <c r="H278" s="3">
        <f t="shared" si="22"/>
        <v>3.6166595979291956E-2</v>
      </c>
      <c r="I278">
        <f t="shared" si="23"/>
        <v>27.050692374906973</v>
      </c>
      <c r="J278">
        <f t="shared" si="24"/>
        <v>24.969727124161491</v>
      </c>
      <c r="K278">
        <v>6.9040000000000004E-3</v>
      </c>
    </row>
    <row r="279" spans="1:11" ht="15" x14ac:dyDescent="0.25">
      <c r="A279" s="1" t="s">
        <v>5</v>
      </c>
      <c r="B279" s="1" t="s">
        <v>275</v>
      </c>
      <c r="C279" s="1">
        <v>40.700000000000003</v>
      </c>
      <c r="D279" s="1">
        <v>46.8</v>
      </c>
      <c r="E279" s="1">
        <v>27.1</v>
      </c>
      <c r="F279" s="5">
        <f t="shared" si="20"/>
        <v>45470.531724537039</v>
      </c>
      <c r="G279" s="3">
        <f t="shared" si="21"/>
        <v>7.6624144023923632E-2</v>
      </c>
      <c r="H279" s="3">
        <f t="shared" si="22"/>
        <v>3.5860099403196261E-2</v>
      </c>
      <c r="I279">
        <f t="shared" si="23"/>
        <v>26.907649643535638</v>
      </c>
      <c r="J279">
        <f t="shared" si="24"/>
        <v>24.758119267177069</v>
      </c>
      <c r="K279">
        <v>7.0730000000000003E-3</v>
      </c>
    </row>
    <row r="280" spans="1:11" ht="15" x14ac:dyDescent="0.25">
      <c r="A280" s="1" t="s">
        <v>5</v>
      </c>
      <c r="B280" s="1" t="s">
        <v>276</v>
      </c>
      <c r="C280" s="1">
        <v>40.700000000000003</v>
      </c>
      <c r="D280" s="1">
        <v>46.5</v>
      </c>
      <c r="E280" s="1">
        <v>26.99</v>
      </c>
      <c r="F280" s="5">
        <f t="shared" si="20"/>
        <v>45470.531956018516</v>
      </c>
      <c r="G280" s="3">
        <f t="shared" si="21"/>
        <v>7.6624144023923632E-2</v>
      </c>
      <c r="H280" s="3">
        <f t="shared" si="22"/>
        <v>3.5630226971124487E-2</v>
      </c>
      <c r="I280">
        <f t="shared" si="23"/>
        <v>26.799658448189351</v>
      </c>
      <c r="J280">
        <f t="shared" si="24"/>
        <v>24.599413374438754</v>
      </c>
      <c r="K280">
        <v>6.502E-3</v>
      </c>
    </row>
    <row r="281" spans="1:11" ht="15" x14ac:dyDescent="0.25">
      <c r="A281" s="1" t="s">
        <v>5</v>
      </c>
      <c r="B281" s="1" t="s">
        <v>277</v>
      </c>
      <c r="C281" s="1">
        <v>40.700000000000003</v>
      </c>
      <c r="D281" s="1">
        <v>46.4</v>
      </c>
      <c r="E281" s="1">
        <v>26.95</v>
      </c>
      <c r="F281" s="5">
        <f t="shared" si="20"/>
        <v>45470.532187500001</v>
      </c>
      <c r="G281" s="3">
        <f t="shared" si="21"/>
        <v>7.6624144023923632E-2</v>
      </c>
      <c r="H281" s="3">
        <f t="shared" si="22"/>
        <v>3.5553602827100565E-2</v>
      </c>
      <c r="I281">
        <f t="shared" si="23"/>
        <v>26.763524844331641</v>
      </c>
      <c r="J281">
        <f t="shared" si="24"/>
        <v>24.54651141019265</v>
      </c>
      <c r="K281">
        <v>6.685E-3</v>
      </c>
    </row>
    <row r="282" spans="1:11" ht="15" x14ac:dyDescent="0.25">
      <c r="A282" s="1" t="s">
        <v>5</v>
      </c>
      <c r="B282" s="1" t="s">
        <v>278</v>
      </c>
      <c r="C282" s="1">
        <v>40.700000000000003</v>
      </c>
      <c r="D282" s="1">
        <v>46.8</v>
      </c>
      <c r="E282" s="1">
        <v>27.1</v>
      </c>
      <c r="F282" s="5">
        <f t="shared" si="20"/>
        <v>45470.532418981478</v>
      </c>
      <c r="G282" s="3">
        <f t="shared" si="21"/>
        <v>7.6624144023923632E-2</v>
      </c>
      <c r="H282" s="3">
        <f t="shared" si="22"/>
        <v>3.5860099403196261E-2</v>
      </c>
      <c r="I282">
        <f t="shared" si="23"/>
        <v>26.907649643535638</v>
      </c>
      <c r="J282">
        <f t="shared" si="24"/>
        <v>24.758119267177069</v>
      </c>
      <c r="K282">
        <v>6.2350000000000001E-3</v>
      </c>
    </row>
    <row r="283" spans="1:11" ht="15" x14ac:dyDescent="0.25">
      <c r="A283" s="1" t="s">
        <v>5</v>
      </c>
      <c r="B283" s="1" t="s">
        <v>279</v>
      </c>
      <c r="C283" s="1">
        <v>40.700000000000003</v>
      </c>
      <c r="D283" s="1">
        <v>46.7</v>
      </c>
      <c r="E283" s="1">
        <v>27.06</v>
      </c>
      <c r="F283" s="5">
        <f t="shared" si="20"/>
        <v>45470.532650462963</v>
      </c>
      <c r="G283" s="3">
        <f t="shared" si="21"/>
        <v>7.6624144023923632E-2</v>
      </c>
      <c r="H283" s="3">
        <f t="shared" si="22"/>
        <v>3.5783475259172338E-2</v>
      </c>
      <c r="I283">
        <f t="shared" si="23"/>
        <v>26.871720571325213</v>
      </c>
      <c r="J283">
        <f t="shared" si="24"/>
        <v>24.705217302930972</v>
      </c>
      <c r="K283">
        <v>6.5560000000000002E-3</v>
      </c>
    </row>
    <row r="284" spans="1:11" ht="15" x14ac:dyDescent="0.25">
      <c r="A284" s="1" t="s">
        <v>5</v>
      </c>
      <c r="B284" s="1" t="s">
        <v>280</v>
      </c>
      <c r="C284" s="1">
        <v>40.700000000000003</v>
      </c>
      <c r="D284" s="1">
        <v>47.2</v>
      </c>
      <c r="E284" s="1">
        <v>27.25</v>
      </c>
      <c r="F284" s="5">
        <f t="shared" si="20"/>
        <v>45470.532881944448</v>
      </c>
      <c r="G284" s="3">
        <f t="shared" si="21"/>
        <v>7.6624144023923632E-2</v>
      </c>
      <c r="H284" s="3">
        <f t="shared" si="22"/>
        <v>3.6166595979291956E-2</v>
      </c>
      <c r="I284">
        <f t="shared" si="23"/>
        <v>27.050692374906973</v>
      </c>
      <c r="J284">
        <f t="shared" si="24"/>
        <v>24.969727124161491</v>
      </c>
      <c r="K284">
        <v>6.1500000000000001E-3</v>
      </c>
    </row>
    <row r="285" spans="1:11" ht="15" x14ac:dyDescent="0.25">
      <c r="A285" s="1" t="s">
        <v>5</v>
      </c>
      <c r="B285" s="1" t="s">
        <v>281</v>
      </c>
      <c r="C285" s="1">
        <v>40.700000000000003</v>
      </c>
      <c r="D285" s="1">
        <v>47.2</v>
      </c>
      <c r="E285" s="1">
        <v>27.25</v>
      </c>
      <c r="F285" s="5">
        <f t="shared" si="20"/>
        <v>45470.533113425925</v>
      </c>
      <c r="G285" s="3">
        <f t="shared" si="21"/>
        <v>7.6624144023923632E-2</v>
      </c>
      <c r="H285" s="3">
        <f t="shared" si="22"/>
        <v>3.6166595979291956E-2</v>
      </c>
      <c r="I285">
        <f t="shared" si="23"/>
        <v>27.050692374906973</v>
      </c>
      <c r="J285">
        <f t="shared" si="24"/>
        <v>24.969727124161491</v>
      </c>
      <c r="K285">
        <v>6.8250000000000003E-3</v>
      </c>
    </row>
    <row r="286" spans="1:11" ht="15" x14ac:dyDescent="0.25">
      <c r="A286" s="1" t="s">
        <v>5</v>
      </c>
      <c r="B286" s="1" t="s">
        <v>282</v>
      </c>
      <c r="C286" s="1">
        <v>40.700000000000003</v>
      </c>
      <c r="D286" s="1">
        <v>47.2</v>
      </c>
      <c r="E286" s="1">
        <v>27.25</v>
      </c>
      <c r="F286" s="5">
        <f t="shared" si="20"/>
        <v>45470.53334490741</v>
      </c>
      <c r="G286" s="3">
        <f t="shared" si="21"/>
        <v>7.6624144023923632E-2</v>
      </c>
      <c r="H286" s="3">
        <f t="shared" si="22"/>
        <v>3.6166595979291956E-2</v>
      </c>
      <c r="I286">
        <f t="shared" si="23"/>
        <v>27.050692374906973</v>
      </c>
      <c r="J286">
        <f t="shared" si="24"/>
        <v>24.969727124161491</v>
      </c>
      <c r="K286">
        <v>6.7219999999999997E-3</v>
      </c>
    </row>
    <row r="287" spans="1:11" ht="15" x14ac:dyDescent="0.25">
      <c r="A287" s="1" t="s">
        <v>5</v>
      </c>
      <c r="B287" s="1" t="s">
        <v>283</v>
      </c>
      <c r="C287" s="1">
        <v>40.700000000000003</v>
      </c>
      <c r="D287" s="1">
        <v>47.2</v>
      </c>
      <c r="E287" s="1">
        <v>27.25</v>
      </c>
      <c r="F287" s="5">
        <f t="shared" si="20"/>
        <v>45470.533576388887</v>
      </c>
      <c r="G287" s="3">
        <f t="shared" si="21"/>
        <v>7.6624144023923632E-2</v>
      </c>
      <c r="H287" s="3">
        <f t="shared" si="22"/>
        <v>3.6166595979291956E-2</v>
      </c>
      <c r="I287">
        <f t="shared" si="23"/>
        <v>27.050692374906973</v>
      </c>
      <c r="J287">
        <f t="shared" si="24"/>
        <v>24.969727124161491</v>
      </c>
      <c r="K287">
        <v>6.5550000000000001E-3</v>
      </c>
    </row>
    <row r="288" spans="1:11" ht="15" x14ac:dyDescent="0.25">
      <c r="A288" s="1" t="s">
        <v>5</v>
      </c>
      <c r="B288" s="1" t="s">
        <v>284</v>
      </c>
      <c r="C288" s="1">
        <v>40.700000000000003</v>
      </c>
      <c r="D288" s="1">
        <v>46</v>
      </c>
      <c r="E288" s="1">
        <v>26.81</v>
      </c>
      <c r="F288" s="5">
        <f t="shared" si="20"/>
        <v>45470.533807870372</v>
      </c>
      <c r="G288" s="3">
        <f t="shared" si="21"/>
        <v>7.6624144023923632E-2</v>
      </c>
      <c r="H288" s="3">
        <f t="shared" si="22"/>
        <v>3.524710625100487E-2</v>
      </c>
      <c r="I288">
        <f t="shared" si="23"/>
        <v>26.618300281854978</v>
      </c>
      <c r="J288">
        <f t="shared" si="24"/>
        <v>24.334903553208235</v>
      </c>
      <c r="K288">
        <v>6.875E-3</v>
      </c>
    </row>
    <row r="289" spans="1:11" ht="15" x14ac:dyDescent="0.25">
      <c r="A289" s="1" t="s">
        <v>5</v>
      </c>
      <c r="B289" s="1" t="s">
        <v>285</v>
      </c>
      <c r="C289" s="1">
        <v>40.700000000000003</v>
      </c>
      <c r="D289" s="1">
        <v>47.7</v>
      </c>
      <c r="E289" s="1">
        <v>27.43</v>
      </c>
      <c r="F289" s="5">
        <f t="shared" si="20"/>
        <v>45470.534039351849</v>
      </c>
      <c r="G289" s="3">
        <f t="shared" si="21"/>
        <v>7.6624144023923632E-2</v>
      </c>
      <c r="H289" s="3">
        <f t="shared" si="22"/>
        <v>3.6549716699411573E-2</v>
      </c>
      <c r="I289">
        <f t="shared" si="23"/>
        <v>27.228000390712673</v>
      </c>
      <c r="J289">
        <f t="shared" si="24"/>
        <v>25.234236945392016</v>
      </c>
      <c r="K289">
        <v>7.1999999999999998E-3</v>
      </c>
    </row>
    <row r="290" spans="1:11" ht="15" x14ac:dyDescent="0.25">
      <c r="A290" s="1" t="s">
        <v>5</v>
      </c>
      <c r="B290" s="1" t="s">
        <v>286</v>
      </c>
      <c r="C290" s="1">
        <v>40.700000000000003</v>
      </c>
      <c r="D290" s="1">
        <v>46.2</v>
      </c>
      <c r="E290" s="1">
        <v>26.88</v>
      </c>
      <c r="F290" s="5">
        <f t="shared" si="20"/>
        <v>45470.534270833334</v>
      </c>
      <c r="G290" s="3">
        <f t="shared" si="21"/>
        <v>7.6624144023923632E-2</v>
      </c>
      <c r="H290" s="3">
        <f t="shared" si="22"/>
        <v>3.5400354539052721E-2</v>
      </c>
      <c r="I290">
        <f t="shared" si="23"/>
        <v>26.691051156747296</v>
      </c>
      <c r="J290">
        <f t="shared" si="24"/>
        <v>24.440707481700446</v>
      </c>
      <c r="K290">
        <v>6.8649999999999996E-3</v>
      </c>
    </row>
    <row r="291" spans="1:11" ht="15" x14ac:dyDescent="0.25">
      <c r="A291" s="1" t="s">
        <v>5</v>
      </c>
      <c r="B291" s="1" t="s">
        <v>287</v>
      </c>
      <c r="C291" s="1">
        <v>40.700000000000003</v>
      </c>
      <c r="D291" s="1">
        <v>55</v>
      </c>
      <c r="E291" s="1">
        <v>29.88</v>
      </c>
      <c r="F291" s="5">
        <f t="shared" si="20"/>
        <v>45470.534502314818</v>
      </c>
      <c r="G291" s="3">
        <f t="shared" si="21"/>
        <v>7.6624144023923632E-2</v>
      </c>
      <c r="H291" s="3">
        <f t="shared" si="22"/>
        <v>4.2143279213157997E-2</v>
      </c>
      <c r="I291">
        <f t="shared" si="23"/>
        <v>29.645988063080086</v>
      </c>
      <c r="J291">
        <f t="shared" si="24"/>
        <v>29.096080335357666</v>
      </c>
      <c r="K291">
        <v>8.2229999999999994E-3</v>
      </c>
    </row>
    <row r="292" spans="1:11" ht="15" x14ac:dyDescent="0.25">
      <c r="A292" s="1" t="s">
        <v>5</v>
      </c>
      <c r="B292" s="1" t="s">
        <v>288</v>
      </c>
      <c r="C292" s="1">
        <v>40.700000000000003</v>
      </c>
      <c r="D292" s="1">
        <v>62.1</v>
      </c>
      <c r="E292" s="1">
        <v>32.01</v>
      </c>
      <c r="F292" s="5">
        <f t="shared" si="20"/>
        <v>45470.534733796296</v>
      </c>
      <c r="G292" s="3">
        <f t="shared" si="21"/>
        <v>7.6624144023923632E-2</v>
      </c>
      <c r="H292" s="3">
        <f t="shared" si="22"/>
        <v>4.758359343885657E-2</v>
      </c>
      <c r="I292">
        <f t="shared" si="23"/>
        <v>31.74029496933532</v>
      </c>
      <c r="J292">
        <f t="shared" si="24"/>
        <v>32.852119796831104</v>
      </c>
      <c r="K292">
        <v>8.2900000000000005E-3</v>
      </c>
    </row>
    <row r="293" spans="1:11" ht="15" x14ac:dyDescent="0.25">
      <c r="A293" s="1" t="s">
        <v>5</v>
      </c>
      <c r="B293" s="1" t="s">
        <v>289</v>
      </c>
      <c r="C293" s="1">
        <v>40.700000000000003</v>
      </c>
      <c r="D293" s="1">
        <v>55.1</v>
      </c>
      <c r="E293" s="1">
        <v>29.91</v>
      </c>
      <c r="F293" s="5">
        <f t="shared" si="20"/>
        <v>45470.53496527778</v>
      </c>
      <c r="G293" s="3">
        <f t="shared" si="21"/>
        <v>7.6624144023923632E-2</v>
      </c>
      <c r="H293" s="3">
        <f t="shared" si="22"/>
        <v>4.2219903357181919E-2</v>
      </c>
      <c r="I293">
        <f t="shared" si="23"/>
        <v>29.677098474326328</v>
      </c>
      <c r="J293">
        <f t="shared" si="24"/>
        <v>29.148982299603773</v>
      </c>
      <c r="K293">
        <v>7.7970000000000001E-3</v>
      </c>
    </row>
    <row r="294" spans="1:11" ht="15" x14ac:dyDescent="0.25">
      <c r="A294" s="1" t="s">
        <v>5</v>
      </c>
      <c r="B294" s="1" t="s">
        <v>290</v>
      </c>
      <c r="C294" s="1">
        <v>40.6</v>
      </c>
      <c r="D294" s="1">
        <v>55.3</v>
      </c>
      <c r="E294" s="1">
        <v>29.88</v>
      </c>
      <c r="F294" s="5">
        <f t="shared" si="20"/>
        <v>45470.535196759258</v>
      </c>
      <c r="G294" s="3">
        <f t="shared" si="21"/>
        <v>7.6218535824478031E-2</v>
      </c>
      <c r="H294" s="3">
        <f t="shared" si="22"/>
        <v>4.2148850310936348E-2</v>
      </c>
      <c r="I294">
        <f t="shared" si="23"/>
        <v>29.648251680490564</v>
      </c>
      <c r="J294">
        <f t="shared" si="24"/>
        <v>29.109201545928165</v>
      </c>
      <c r="K294">
        <v>8.0319999999999992E-3</v>
      </c>
    </row>
    <row r="295" spans="1:11" ht="15" x14ac:dyDescent="0.25">
      <c r="A295" s="1" t="s">
        <v>5</v>
      </c>
      <c r="B295" s="1" t="s">
        <v>291</v>
      </c>
      <c r="C295" s="1">
        <v>40.5</v>
      </c>
      <c r="D295" s="1">
        <v>56.7</v>
      </c>
      <c r="E295" s="1">
        <v>30.22</v>
      </c>
      <c r="F295" s="5">
        <f t="shared" si="20"/>
        <v>45470.535428240742</v>
      </c>
      <c r="G295" s="3">
        <f t="shared" si="21"/>
        <v>7.5814782591012389E-2</v>
      </c>
      <c r="H295" s="3">
        <f t="shared" si="22"/>
        <v>4.2986981729104021E-2</v>
      </c>
      <c r="I295">
        <f t="shared" si="23"/>
        <v>29.985832198516768</v>
      </c>
      <c r="J295">
        <f t="shared" si="24"/>
        <v>29.697504415200147</v>
      </c>
      <c r="K295">
        <v>7.4830000000000001E-3</v>
      </c>
    </row>
    <row r="296" spans="1:11" ht="15" x14ac:dyDescent="0.25">
      <c r="A296" s="1" t="s">
        <v>5</v>
      </c>
      <c r="B296" s="1" t="s">
        <v>292</v>
      </c>
      <c r="C296" s="1">
        <v>40.5</v>
      </c>
      <c r="D296" s="1">
        <v>55.8</v>
      </c>
      <c r="E296" s="1">
        <v>29.95</v>
      </c>
      <c r="F296" s="5">
        <f t="shared" si="20"/>
        <v>45470.53565972222</v>
      </c>
      <c r="G296" s="3">
        <f t="shared" si="21"/>
        <v>7.5814782591012389E-2</v>
      </c>
      <c r="H296" s="3">
        <f t="shared" si="22"/>
        <v>4.2304648685784915E-2</v>
      </c>
      <c r="I296">
        <f t="shared" si="23"/>
        <v>29.711448344964072</v>
      </c>
      <c r="J296">
        <f t="shared" si="24"/>
        <v>29.226115456228712</v>
      </c>
      <c r="K296">
        <v>8.1930000000000006E-3</v>
      </c>
    </row>
    <row r="297" spans="1:11" ht="15" x14ac:dyDescent="0.25">
      <c r="A297" s="1" t="s">
        <v>5</v>
      </c>
      <c r="B297" s="1" t="s">
        <v>293</v>
      </c>
      <c r="C297" s="1">
        <v>40.5</v>
      </c>
      <c r="D297" s="1">
        <v>53.9</v>
      </c>
      <c r="E297" s="1">
        <v>29.34</v>
      </c>
      <c r="F297" s="5">
        <f t="shared" si="20"/>
        <v>45470.535891203705</v>
      </c>
      <c r="G297" s="3">
        <f t="shared" si="21"/>
        <v>7.5814782591012389E-2</v>
      </c>
      <c r="H297" s="3">
        <f t="shared" si="22"/>
        <v>4.0864167816555677E-2</v>
      </c>
      <c r="I297">
        <f t="shared" si="23"/>
        <v>29.119155041040525</v>
      </c>
      <c r="J297">
        <f t="shared" si="24"/>
        <v>28.230960987289027</v>
      </c>
      <c r="K297">
        <v>7.5770000000000004E-3</v>
      </c>
    </row>
    <row r="298" spans="1:11" ht="15" x14ac:dyDescent="0.25">
      <c r="A298" s="1" t="s">
        <v>5</v>
      </c>
      <c r="B298" s="1" t="s">
        <v>294</v>
      </c>
      <c r="C298" s="1">
        <v>40.4</v>
      </c>
      <c r="D298" s="1">
        <v>51.5</v>
      </c>
      <c r="E298" s="1">
        <v>28.47</v>
      </c>
      <c r="F298" s="5">
        <f t="shared" si="20"/>
        <v>45470.536122685182</v>
      </c>
      <c r="G298" s="3">
        <f t="shared" si="21"/>
        <v>7.5412877307275555E-2</v>
      </c>
      <c r="H298" s="3">
        <f t="shared" si="22"/>
        <v>3.8837631813246912E-2</v>
      </c>
      <c r="I298">
        <f t="shared" si="23"/>
        <v>28.253960119735243</v>
      </c>
      <c r="J298">
        <f t="shared" si="24"/>
        <v>26.839488182629474</v>
      </c>
      <c r="K298">
        <v>7.5310000000000004E-3</v>
      </c>
    </row>
    <row r="299" spans="1:11" ht="15" x14ac:dyDescent="0.25">
      <c r="A299" s="1" t="s">
        <v>5</v>
      </c>
      <c r="B299" s="1" t="s">
        <v>295</v>
      </c>
      <c r="C299" s="1">
        <v>40.4</v>
      </c>
      <c r="D299" s="1">
        <v>54.7</v>
      </c>
      <c r="E299" s="1">
        <v>29.51</v>
      </c>
      <c r="F299" s="5">
        <f t="shared" si="20"/>
        <v>45470.536354166667</v>
      </c>
      <c r="G299" s="3">
        <f t="shared" si="21"/>
        <v>7.5412877307275555E-2</v>
      </c>
      <c r="H299" s="3">
        <f t="shared" si="22"/>
        <v>4.1250843887079724E-2</v>
      </c>
      <c r="I299">
        <f t="shared" si="23"/>
        <v>29.279930794320318</v>
      </c>
      <c r="J299">
        <f t="shared" si="24"/>
        <v>28.507184535724893</v>
      </c>
      <c r="K299">
        <v>7.7520000000000002E-3</v>
      </c>
    </row>
    <row r="300" spans="1:11" ht="15" x14ac:dyDescent="0.25">
      <c r="A300" s="1" t="s">
        <v>5</v>
      </c>
      <c r="B300" s="1" t="s">
        <v>296</v>
      </c>
      <c r="C300" s="1">
        <v>40.4</v>
      </c>
      <c r="D300" s="1">
        <v>53.4</v>
      </c>
      <c r="E300" s="1">
        <v>29.09</v>
      </c>
      <c r="F300" s="5">
        <f t="shared" si="20"/>
        <v>45470.536585648151</v>
      </c>
      <c r="G300" s="3">
        <f t="shared" si="21"/>
        <v>7.5412877307275555E-2</v>
      </c>
      <c r="H300" s="3">
        <f t="shared" si="22"/>
        <v>4.0270476482085149E-2</v>
      </c>
      <c r="I300">
        <f t="shared" si="23"/>
        <v>28.869677058953869</v>
      </c>
      <c r="J300">
        <f t="shared" si="24"/>
        <v>27.82968289227988</v>
      </c>
      <c r="K300">
        <v>7.6119999999999998E-3</v>
      </c>
    </row>
    <row r="301" spans="1:11" ht="15" x14ac:dyDescent="0.25">
      <c r="A301" s="1" t="s">
        <v>5</v>
      </c>
      <c r="B301" s="1" t="s">
        <v>297</v>
      </c>
      <c r="C301" s="1">
        <v>40.4</v>
      </c>
      <c r="D301" s="1">
        <v>54</v>
      </c>
      <c r="E301" s="1">
        <v>29.28</v>
      </c>
      <c r="F301" s="5">
        <f t="shared" si="20"/>
        <v>45470.536817129629</v>
      </c>
      <c r="G301" s="3">
        <f t="shared" si="21"/>
        <v>7.5412877307275555E-2</v>
      </c>
      <c r="H301" s="3">
        <f t="shared" si="22"/>
        <v>4.0722953745928797E-2</v>
      </c>
      <c r="I301">
        <f t="shared" si="23"/>
        <v>29.06010557779517</v>
      </c>
      <c r="J301">
        <f t="shared" si="24"/>
        <v>28.142375958485268</v>
      </c>
      <c r="K301">
        <v>7.6360000000000004E-3</v>
      </c>
    </row>
    <row r="302" spans="1:11" ht="15" x14ac:dyDescent="0.25">
      <c r="A302" s="1" t="s">
        <v>5</v>
      </c>
      <c r="B302" s="1" t="s">
        <v>298</v>
      </c>
      <c r="C302" s="1">
        <v>40.4</v>
      </c>
      <c r="D302" s="1">
        <v>53.6</v>
      </c>
      <c r="E302" s="1">
        <v>29.16</v>
      </c>
      <c r="F302" s="5">
        <f t="shared" si="20"/>
        <v>45470.537048611113</v>
      </c>
      <c r="G302" s="3">
        <f t="shared" si="21"/>
        <v>7.5412877307275555E-2</v>
      </c>
      <c r="H302" s="3">
        <f t="shared" si="22"/>
        <v>4.0421302236699701E-2</v>
      </c>
      <c r="I302">
        <f t="shared" si="23"/>
        <v>28.933361722087223</v>
      </c>
      <c r="J302">
        <f t="shared" si="24"/>
        <v>27.933913914348345</v>
      </c>
      <c r="K302">
        <v>7.3839999999999999E-3</v>
      </c>
    </row>
    <row r="303" spans="1:11" ht="15" x14ac:dyDescent="0.25">
      <c r="A303" s="1" t="s">
        <v>5</v>
      </c>
      <c r="B303" s="1" t="s">
        <v>299</v>
      </c>
      <c r="C303" s="1">
        <v>40.5</v>
      </c>
      <c r="D303" s="1">
        <v>54.5</v>
      </c>
      <c r="E303" s="1">
        <v>29.54</v>
      </c>
      <c r="F303" s="5">
        <f t="shared" si="20"/>
        <v>45470.537280092591</v>
      </c>
      <c r="G303" s="3">
        <f t="shared" si="21"/>
        <v>7.5814782591012389E-2</v>
      </c>
      <c r="H303" s="3">
        <f t="shared" si="22"/>
        <v>4.131905651210175E-2</v>
      </c>
      <c r="I303">
        <f t="shared" si="23"/>
        <v>29.308155040450018</v>
      </c>
      <c r="J303">
        <f t="shared" si="24"/>
        <v>28.545220293269981</v>
      </c>
      <c r="K303">
        <v>7.6509999999999998E-3</v>
      </c>
    </row>
    <row r="304" spans="1:11" ht="15" x14ac:dyDescent="0.25">
      <c r="A304" s="1" t="s">
        <v>5</v>
      </c>
      <c r="B304" s="1" t="s">
        <v>300</v>
      </c>
      <c r="C304" s="1">
        <v>40.5</v>
      </c>
      <c r="D304" s="1">
        <v>54.2</v>
      </c>
      <c r="E304" s="1">
        <v>29.44</v>
      </c>
      <c r="F304" s="5">
        <f t="shared" si="20"/>
        <v>45470.537511574075</v>
      </c>
      <c r="G304" s="3">
        <f t="shared" si="21"/>
        <v>7.5814782591012389E-2</v>
      </c>
      <c r="H304" s="3">
        <f t="shared" si="22"/>
        <v>4.1091612164328717E-2</v>
      </c>
      <c r="I304">
        <f t="shared" si="23"/>
        <v>29.21388538756878</v>
      </c>
      <c r="J304">
        <f t="shared" si="24"/>
        <v>28.388090640279508</v>
      </c>
      <c r="K304">
        <v>8.2839999999999997E-3</v>
      </c>
    </row>
    <row r="305" spans="1:11" ht="15" x14ac:dyDescent="0.25">
      <c r="A305" s="1" t="s">
        <v>5</v>
      </c>
      <c r="B305" s="1" t="s">
        <v>301</v>
      </c>
      <c r="C305" s="1">
        <v>40.5</v>
      </c>
      <c r="D305" s="1">
        <v>55.3</v>
      </c>
      <c r="E305" s="1">
        <v>29.79</v>
      </c>
      <c r="F305" s="5">
        <f t="shared" si="20"/>
        <v>45470.537743055553</v>
      </c>
      <c r="G305" s="3">
        <f t="shared" si="21"/>
        <v>7.5814782591012389E-2</v>
      </c>
      <c r="H305" s="3">
        <f t="shared" si="22"/>
        <v>4.1925574772829849E-2</v>
      </c>
      <c r="I305">
        <f t="shared" si="23"/>
        <v>29.557324601195699</v>
      </c>
      <c r="J305">
        <f t="shared" si="24"/>
        <v>28.964232701244583</v>
      </c>
      <c r="K305">
        <v>8.1849999999999996E-3</v>
      </c>
    </row>
    <row r="306" spans="1:11" ht="15" x14ac:dyDescent="0.25">
      <c r="A306" s="1" t="s">
        <v>5</v>
      </c>
      <c r="B306" s="1" t="s">
        <v>302</v>
      </c>
      <c r="C306" s="1">
        <v>40.5</v>
      </c>
      <c r="D306" s="1">
        <v>54.7</v>
      </c>
      <c r="E306" s="1">
        <v>29.6</v>
      </c>
      <c r="F306" s="5">
        <f t="shared" si="20"/>
        <v>45470.537974537037</v>
      </c>
      <c r="G306" s="3">
        <f t="shared" si="21"/>
        <v>7.5814782591012389E-2</v>
      </c>
      <c r="H306" s="3">
        <f t="shared" si="22"/>
        <v>4.1470686077283776E-2</v>
      </c>
      <c r="I306">
        <f t="shared" si="23"/>
        <v>29.370747897538411</v>
      </c>
      <c r="J306">
        <f t="shared" si="24"/>
        <v>28.649973395263633</v>
      </c>
      <c r="K306">
        <v>8.0350000000000005E-3</v>
      </c>
    </row>
    <row r="307" spans="1:11" ht="15" x14ac:dyDescent="0.25">
      <c r="A307" s="1" t="s">
        <v>5</v>
      </c>
      <c r="B307" s="1" t="s">
        <v>303</v>
      </c>
      <c r="C307" s="1">
        <v>40.5</v>
      </c>
      <c r="D307" s="1">
        <v>55</v>
      </c>
      <c r="E307" s="1">
        <v>29.69</v>
      </c>
      <c r="F307" s="5">
        <f t="shared" si="20"/>
        <v>45470.538206018522</v>
      </c>
      <c r="G307" s="3">
        <f t="shared" si="21"/>
        <v>7.5814782591012389E-2</v>
      </c>
      <c r="H307" s="3">
        <f t="shared" si="22"/>
        <v>4.1698130425056809E-2</v>
      </c>
      <c r="I307">
        <f t="shared" si="23"/>
        <v>29.464260308657533</v>
      </c>
      <c r="J307">
        <f t="shared" si="24"/>
        <v>28.807103048254106</v>
      </c>
      <c r="K307">
        <v>7.3819999999999997E-3</v>
      </c>
    </row>
    <row r="308" spans="1:11" ht="15" x14ac:dyDescent="0.25">
      <c r="A308" s="1" t="s">
        <v>5</v>
      </c>
      <c r="B308" s="1" t="s">
        <v>304</v>
      </c>
      <c r="C308" s="1">
        <v>40.6</v>
      </c>
      <c r="D308" s="1">
        <v>55.3</v>
      </c>
      <c r="E308" s="1">
        <v>29.88</v>
      </c>
      <c r="F308" s="5">
        <f t="shared" si="20"/>
        <v>45470.538437499999</v>
      </c>
      <c r="G308" s="3">
        <f t="shared" si="21"/>
        <v>7.6218535824478031E-2</v>
      </c>
      <c r="H308" s="3">
        <f t="shared" si="22"/>
        <v>4.2148850310936348E-2</v>
      </c>
      <c r="I308">
        <f t="shared" si="23"/>
        <v>29.648251680490564</v>
      </c>
      <c r="J308">
        <f t="shared" si="24"/>
        <v>29.109201545928165</v>
      </c>
      <c r="K308">
        <v>8.0099999999999998E-3</v>
      </c>
    </row>
    <row r="309" spans="1:11" ht="15" x14ac:dyDescent="0.25">
      <c r="A309" s="1" t="s">
        <v>5</v>
      </c>
      <c r="B309" s="1" t="s">
        <v>305</v>
      </c>
      <c r="C309" s="1">
        <v>40.6</v>
      </c>
      <c r="D309" s="1">
        <v>55.9</v>
      </c>
      <c r="E309" s="1">
        <v>30.07</v>
      </c>
      <c r="F309" s="5">
        <f t="shared" si="20"/>
        <v>45470.538668981484</v>
      </c>
      <c r="G309" s="3">
        <f t="shared" si="21"/>
        <v>7.6218535824478031E-2</v>
      </c>
      <c r="H309" s="3">
        <f t="shared" si="22"/>
        <v>4.2606161525883222E-2</v>
      </c>
      <c r="I309">
        <f t="shared" si="23"/>
        <v>29.833171438540706</v>
      </c>
      <c r="J309">
        <f t="shared" si="24"/>
        <v>29.425033750766453</v>
      </c>
      <c r="K309">
        <v>7.737E-3</v>
      </c>
    </row>
    <row r="310" spans="1:11" ht="15" x14ac:dyDescent="0.25">
      <c r="A310" s="1" t="s">
        <v>5</v>
      </c>
      <c r="B310" s="1" t="s">
        <v>306</v>
      </c>
      <c r="C310" s="1">
        <v>40.700000000000003</v>
      </c>
      <c r="D310" s="1">
        <v>54.8</v>
      </c>
      <c r="E310" s="1">
        <v>29.82</v>
      </c>
      <c r="F310" s="5">
        <f t="shared" si="20"/>
        <v>45470.538900462961</v>
      </c>
      <c r="G310" s="3">
        <f t="shared" si="21"/>
        <v>7.6624144023923632E-2</v>
      </c>
      <c r="H310" s="3">
        <f t="shared" si="22"/>
        <v>4.1990030925110153E-2</v>
      </c>
      <c r="I310">
        <f t="shared" si="23"/>
        <v>29.583617521261761</v>
      </c>
      <c r="J310">
        <f t="shared" si="24"/>
        <v>28.990276406865458</v>
      </c>
      <c r="K310">
        <v>7.3920000000000001E-3</v>
      </c>
    </row>
    <row r="311" spans="1:11" ht="15" x14ac:dyDescent="0.25">
      <c r="A311" s="1" t="s">
        <v>5</v>
      </c>
      <c r="B311" s="1" t="s">
        <v>307</v>
      </c>
      <c r="C311" s="1">
        <v>40.700000000000003</v>
      </c>
      <c r="D311" s="1">
        <v>55.9</v>
      </c>
      <c r="E311" s="1">
        <v>30.16</v>
      </c>
      <c r="F311" s="5">
        <f t="shared" si="20"/>
        <v>45470.539131944446</v>
      </c>
      <c r="G311" s="3">
        <f t="shared" si="21"/>
        <v>7.6624144023923632E-2</v>
      </c>
      <c r="H311" s="3">
        <f t="shared" si="22"/>
        <v>4.2832896509373303E-2</v>
      </c>
      <c r="I311">
        <f t="shared" si="23"/>
        <v>29.924207493607998</v>
      </c>
      <c r="J311">
        <f t="shared" si="24"/>
        <v>29.57219801357261</v>
      </c>
      <c r="K311">
        <v>7.9609999999999993E-3</v>
      </c>
    </row>
    <row r="312" spans="1:11" ht="15" x14ac:dyDescent="0.25">
      <c r="A312" s="1" t="s">
        <v>5</v>
      </c>
      <c r="B312" s="1" t="s">
        <v>308</v>
      </c>
      <c r="C312" s="1">
        <v>40.700000000000003</v>
      </c>
      <c r="D312" s="1">
        <v>55.3</v>
      </c>
      <c r="E312" s="1">
        <v>29.97</v>
      </c>
      <c r="F312" s="5">
        <f t="shared" si="20"/>
        <v>45470.539363425924</v>
      </c>
      <c r="G312" s="3">
        <f t="shared" si="21"/>
        <v>7.6624144023923632E-2</v>
      </c>
      <c r="H312" s="3">
        <f t="shared" si="22"/>
        <v>4.2373151645229763E-2</v>
      </c>
      <c r="I312">
        <f t="shared" si="23"/>
        <v>29.739170431155795</v>
      </c>
      <c r="J312">
        <f t="shared" si="24"/>
        <v>29.254786228095973</v>
      </c>
      <c r="K312">
        <v>8.0149999999999996E-3</v>
      </c>
    </row>
    <row r="313" spans="1:11" ht="15" x14ac:dyDescent="0.25">
      <c r="A313" s="1" t="s">
        <v>5</v>
      </c>
      <c r="B313" s="1" t="s">
        <v>309</v>
      </c>
      <c r="C313" s="1">
        <v>40.700000000000003</v>
      </c>
      <c r="D313" s="1">
        <v>55.9</v>
      </c>
      <c r="E313" s="1">
        <v>30.16</v>
      </c>
      <c r="F313" s="5">
        <f t="shared" si="20"/>
        <v>45470.539594907408</v>
      </c>
      <c r="G313" s="3">
        <f t="shared" si="21"/>
        <v>7.6624144023923632E-2</v>
      </c>
      <c r="H313" s="3">
        <f t="shared" si="22"/>
        <v>4.2832896509373303E-2</v>
      </c>
      <c r="I313">
        <f t="shared" si="23"/>
        <v>29.924207493607998</v>
      </c>
      <c r="J313">
        <f t="shared" si="24"/>
        <v>29.57219801357261</v>
      </c>
      <c r="K313">
        <v>7.8879999999999992E-3</v>
      </c>
    </row>
    <row r="314" spans="1:11" ht="15" x14ac:dyDescent="0.25">
      <c r="A314" s="1" t="s">
        <v>5</v>
      </c>
      <c r="B314" s="1" t="s">
        <v>310</v>
      </c>
      <c r="C314" s="1">
        <v>40.799999999999997</v>
      </c>
      <c r="D314" s="1">
        <v>55.1</v>
      </c>
      <c r="E314" s="1">
        <v>30</v>
      </c>
      <c r="F314" s="5">
        <f t="shared" si="20"/>
        <v>45470.539826388886</v>
      </c>
      <c r="G314" s="3">
        <f t="shared" si="21"/>
        <v>7.7031614225780573E-2</v>
      </c>
      <c r="H314" s="3">
        <f t="shared" si="22"/>
        <v>4.2444419438405101E-2</v>
      </c>
      <c r="I314">
        <f t="shared" si="23"/>
        <v>29.767969549674984</v>
      </c>
      <c r="J314">
        <f t="shared" si="24"/>
        <v>29.294656154683082</v>
      </c>
      <c r="K314">
        <v>7.731E-3</v>
      </c>
    </row>
    <row r="315" spans="1:11" ht="15" x14ac:dyDescent="0.25">
      <c r="A315" s="1" t="s">
        <v>5</v>
      </c>
      <c r="B315" s="1" t="s">
        <v>311</v>
      </c>
      <c r="C315" s="1">
        <v>40.799999999999997</v>
      </c>
      <c r="D315" s="1">
        <v>55.8</v>
      </c>
      <c r="E315" s="1">
        <v>30.22</v>
      </c>
      <c r="F315" s="5">
        <f t="shared" si="20"/>
        <v>45470.54005787037</v>
      </c>
      <c r="G315" s="3">
        <f t="shared" si="21"/>
        <v>7.7031614225780573E-2</v>
      </c>
      <c r="H315" s="3">
        <f t="shared" si="22"/>
        <v>4.2983640737985558E-2</v>
      </c>
      <c r="I315">
        <f t="shared" si="23"/>
        <v>29.984498069742404</v>
      </c>
      <c r="J315">
        <f t="shared" si="24"/>
        <v>29.666820570441299</v>
      </c>
      <c r="K315">
        <v>8.1630000000000001E-3</v>
      </c>
    </row>
    <row r="316" spans="1:11" ht="15" x14ac:dyDescent="0.25">
      <c r="A316" s="1" t="s">
        <v>5</v>
      </c>
      <c r="B316" s="1" t="s">
        <v>312</v>
      </c>
      <c r="C316" s="1">
        <v>40.700000000000003</v>
      </c>
      <c r="D316" s="1">
        <v>57.5</v>
      </c>
      <c r="E316" s="1">
        <v>30.65</v>
      </c>
      <c r="F316" s="5">
        <f t="shared" si="20"/>
        <v>45470.540289351855</v>
      </c>
      <c r="G316" s="3">
        <f t="shared" si="21"/>
        <v>7.6624144023923632E-2</v>
      </c>
      <c r="H316" s="3">
        <f t="shared" si="22"/>
        <v>4.4058882813756091E-2</v>
      </c>
      <c r="I316">
        <f t="shared" si="23"/>
        <v>30.409224516122062</v>
      </c>
      <c r="J316">
        <f t="shared" si="24"/>
        <v>30.418629441510294</v>
      </c>
      <c r="K316">
        <v>7.8820000000000001E-3</v>
      </c>
    </row>
    <row r="317" spans="1:11" ht="15" x14ac:dyDescent="0.25">
      <c r="A317" s="1" t="s">
        <v>5</v>
      </c>
      <c r="B317" s="1" t="s">
        <v>313</v>
      </c>
      <c r="C317" s="1">
        <v>40.700000000000003</v>
      </c>
      <c r="D317" s="1">
        <v>55.1</v>
      </c>
      <c r="E317" s="1">
        <v>29.91</v>
      </c>
      <c r="F317" s="5">
        <f t="shared" si="20"/>
        <v>45470.540520833332</v>
      </c>
      <c r="G317" s="3">
        <f t="shared" si="21"/>
        <v>7.6624144023923632E-2</v>
      </c>
      <c r="H317" s="3">
        <f t="shared" si="22"/>
        <v>4.2219903357181919E-2</v>
      </c>
      <c r="I317">
        <f t="shared" si="23"/>
        <v>29.677098474326328</v>
      </c>
      <c r="J317">
        <f t="shared" si="24"/>
        <v>29.148982299603773</v>
      </c>
      <c r="K317">
        <v>7.3280000000000003E-3</v>
      </c>
    </row>
    <row r="318" spans="1:11" ht="15" x14ac:dyDescent="0.25">
      <c r="A318" s="1" t="s">
        <v>5</v>
      </c>
      <c r="B318" s="1" t="s">
        <v>314</v>
      </c>
      <c r="C318" s="1">
        <v>40.700000000000003</v>
      </c>
      <c r="D318" s="1">
        <v>58.6</v>
      </c>
      <c r="E318" s="1">
        <v>30.99</v>
      </c>
      <c r="F318" s="5">
        <f t="shared" si="20"/>
        <v>45470.540752314817</v>
      </c>
      <c r="G318" s="3">
        <f t="shared" si="21"/>
        <v>7.6624144023923632E-2</v>
      </c>
      <c r="H318" s="3">
        <f t="shared" si="22"/>
        <v>4.4901748398019248E-2</v>
      </c>
      <c r="I318">
        <f t="shared" si="23"/>
        <v>30.735828025560615</v>
      </c>
      <c r="J318">
        <f t="shared" si="24"/>
        <v>31.000551048217446</v>
      </c>
      <c r="K318">
        <v>8.1209999999999997E-3</v>
      </c>
    </row>
    <row r="319" spans="1:11" ht="15" x14ac:dyDescent="0.25">
      <c r="A319" s="1" t="s">
        <v>5</v>
      </c>
      <c r="B319" s="1" t="s">
        <v>315</v>
      </c>
      <c r="C319" s="1">
        <v>40.6</v>
      </c>
      <c r="D319" s="1">
        <v>56.1</v>
      </c>
      <c r="E319" s="1">
        <v>30.13</v>
      </c>
      <c r="F319" s="5">
        <f t="shared" si="20"/>
        <v>45470.540983796294</v>
      </c>
      <c r="G319" s="3">
        <f t="shared" si="21"/>
        <v>7.6218535824478031E-2</v>
      </c>
      <c r="H319" s="3">
        <f t="shared" si="22"/>
        <v>4.2758598597532178E-2</v>
      </c>
      <c r="I319">
        <f t="shared" si="23"/>
        <v>29.8944230755699</v>
      </c>
      <c r="J319">
        <f t="shared" si="24"/>
        <v>29.530311152379209</v>
      </c>
      <c r="K319">
        <v>7.9869999999999993E-3</v>
      </c>
    </row>
    <row r="320" spans="1:11" ht="15" x14ac:dyDescent="0.25">
      <c r="A320" s="1" t="s">
        <v>5</v>
      </c>
      <c r="B320" s="1" t="s">
        <v>316</v>
      </c>
      <c r="C320" s="1">
        <v>40.5</v>
      </c>
      <c r="D320" s="1">
        <v>52.6</v>
      </c>
      <c r="E320" s="1">
        <v>28.92</v>
      </c>
      <c r="F320" s="5">
        <f t="shared" si="20"/>
        <v>45470.541215277779</v>
      </c>
      <c r="G320" s="3">
        <f t="shared" si="21"/>
        <v>7.5814782591012389E-2</v>
      </c>
      <c r="H320" s="3">
        <f t="shared" si="22"/>
        <v>3.9878575642872519E-2</v>
      </c>
      <c r="I320">
        <f t="shared" si="23"/>
        <v>28.70321323689349</v>
      </c>
      <c r="J320">
        <f t="shared" si="24"/>
        <v>27.550065824330296</v>
      </c>
      <c r="K320">
        <v>7.3860000000000002E-3</v>
      </c>
    </row>
    <row r="321" spans="1:11" ht="15" x14ac:dyDescent="0.25">
      <c r="A321" s="1" t="s">
        <v>5</v>
      </c>
      <c r="B321" s="1" t="s">
        <v>317</v>
      </c>
      <c r="C321" s="1">
        <v>40.5</v>
      </c>
      <c r="D321" s="1">
        <v>53.2</v>
      </c>
      <c r="E321" s="1">
        <v>29.12</v>
      </c>
      <c r="F321" s="5">
        <f t="shared" si="20"/>
        <v>45470.541446759256</v>
      </c>
      <c r="G321" s="3">
        <f t="shared" si="21"/>
        <v>7.5814782591012389E-2</v>
      </c>
      <c r="H321" s="3">
        <f t="shared" si="22"/>
        <v>4.0333464338418591E-2</v>
      </c>
      <c r="I321">
        <f t="shared" si="23"/>
        <v>28.896298557783251</v>
      </c>
      <c r="J321">
        <f t="shared" si="24"/>
        <v>27.864325130311251</v>
      </c>
      <c r="K321">
        <v>7.4819999999999999E-3</v>
      </c>
    </row>
    <row r="322" spans="1:11" ht="15" x14ac:dyDescent="0.25">
      <c r="A322" s="1" t="s">
        <v>5</v>
      </c>
      <c r="B322" s="1" t="s">
        <v>318</v>
      </c>
      <c r="C322" s="1">
        <v>40.4</v>
      </c>
      <c r="D322" s="1">
        <v>53.2</v>
      </c>
      <c r="E322" s="1">
        <v>29.03</v>
      </c>
      <c r="F322" s="5">
        <f t="shared" si="20"/>
        <v>45470.541678240741</v>
      </c>
      <c r="G322" s="3">
        <f t="shared" si="21"/>
        <v>7.5412877307275555E-2</v>
      </c>
      <c r="H322" s="3">
        <f t="shared" si="22"/>
        <v>4.0119650727470597E-2</v>
      </c>
      <c r="I322">
        <f t="shared" si="23"/>
        <v>28.805781936362742</v>
      </c>
      <c r="J322">
        <f t="shared" si="24"/>
        <v>27.725451870211419</v>
      </c>
      <c r="K322">
        <v>7.6449999999999999E-3</v>
      </c>
    </row>
    <row r="323" spans="1:11" ht="15" x14ac:dyDescent="0.25">
      <c r="A323" s="1" t="s">
        <v>5</v>
      </c>
      <c r="B323" s="1" t="s">
        <v>319</v>
      </c>
      <c r="C323" s="1">
        <v>40.4</v>
      </c>
      <c r="D323" s="1">
        <v>53.9</v>
      </c>
      <c r="E323" s="1">
        <v>29.25</v>
      </c>
      <c r="F323" s="5">
        <f t="shared" si="20"/>
        <v>45470.541909722226</v>
      </c>
      <c r="G323" s="3">
        <f t="shared" si="21"/>
        <v>7.5412877307275555E-2</v>
      </c>
      <c r="H323" s="3">
        <f t="shared" si="22"/>
        <v>4.0647540868621518E-2</v>
      </c>
      <c r="I323">
        <f t="shared" si="23"/>
        <v>29.028497340480254</v>
      </c>
      <c r="J323">
        <f t="shared" si="24"/>
        <v>28.090260447451033</v>
      </c>
      <c r="K323">
        <v>7.6059999999999999E-3</v>
      </c>
    </row>
    <row r="324" spans="1:11" ht="15" x14ac:dyDescent="0.25">
      <c r="A324" s="1" t="s">
        <v>5</v>
      </c>
      <c r="B324" s="1" t="s">
        <v>320</v>
      </c>
      <c r="C324" s="1">
        <v>40.4</v>
      </c>
      <c r="D324" s="1">
        <v>53.4</v>
      </c>
      <c r="E324" s="1">
        <v>29.09</v>
      </c>
      <c r="F324" s="5">
        <f t="shared" si="20"/>
        <v>45470.542141203703</v>
      </c>
      <c r="G324" s="3">
        <f t="shared" si="21"/>
        <v>7.5412877307275555E-2</v>
      </c>
      <c r="H324" s="3">
        <f t="shared" si="22"/>
        <v>4.0270476482085149E-2</v>
      </c>
      <c r="I324">
        <f t="shared" si="23"/>
        <v>28.869677058953869</v>
      </c>
      <c r="J324">
        <f t="shared" si="24"/>
        <v>27.82968289227988</v>
      </c>
      <c r="K324">
        <v>7.5979999999999997E-3</v>
      </c>
    </row>
    <row r="325" spans="1:11" ht="15" x14ac:dyDescent="0.25">
      <c r="A325" s="1" t="s">
        <v>5</v>
      </c>
      <c r="B325" s="1" t="s">
        <v>321</v>
      </c>
      <c r="C325" s="1">
        <v>40.4</v>
      </c>
      <c r="D325" s="1">
        <v>53.6</v>
      </c>
      <c r="E325" s="1">
        <v>29.16</v>
      </c>
      <c r="F325" s="5">
        <f t="shared" si="20"/>
        <v>45470.542372685188</v>
      </c>
      <c r="G325" s="3">
        <f t="shared" si="21"/>
        <v>7.5412877307275555E-2</v>
      </c>
      <c r="H325" s="3">
        <f t="shared" si="22"/>
        <v>4.0421302236699701E-2</v>
      </c>
      <c r="I325">
        <f t="shared" si="23"/>
        <v>28.933361722087223</v>
      </c>
      <c r="J325">
        <f t="shared" si="24"/>
        <v>27.933913914348345</v>
      </c>
      <c r="K325">
        <v>7.5929999999999999E-3</v>
      </c>
    </row>
    <row r="326" spans="1:11" ht="15" x14ac:dyDescent="0.25">
      <c r="A326" s="1" t="s">
        <v>5</v>
      </c>
      <c r="B326" s="1" t="s">
        <v>322</v>
      </c>
      <c r="C326" s="1">
        <v>40.5</v>
      </c>
      <c r="D326" s="1">
        <v>53.9</v>
      </c>
      <c r="E326" s="1">
        <v>29.34</v>
      </c>
      <c r="F326" s="5">
        <f t="shared" si="20"/>
        <v>45470.542604166665</v>
      </c>
      <c r="G326" s="3">
        <f t="shared" si="21"/>
        <v>7.5814782591012389E-2</v>
      </c>
      <c r="H326" s="3">
        <f t="shared" si="22"/>
        <v>4.0864167816555677E-2</v>
      </c>
      <c r="I326">
        <f t="shared" si="23"/>
        <v>29.119155041040525</v>
      </c>
      <c r="J326">
        <f t="shared" si="24"/>
        <v>28.230960987289027</v>
      </c>
      <c r="K326">
        <v>7.2560000000000003E-3</v>
      </c>
    </row>
    <row r="327" spans="1:11" ht="15" x14ac:dyDescent="0.25">
      <c r="A327" s="1" t="s">
        <v>5</v>
      </c>
      <c r="B327" s="1" t="s">
        <v>323</v>
      </c>
      <c r="C327" s="1">
        <v>40.5</v>
      </c>
      <c r="D327" s="1">
        <v>53.9</v>
      </c>
      <c r="E327" s="1">
        <v>29.34</v>
      </c>
      <c r="F327" s="5">
        <f t="shared" si="20"/>
        <v>45470.54283564815</v>
      </c>
      <c r="G327" s="3">
        <f t="shared" si="21"/>
        <v>7.5814782591012389E-2</v>
      </c>
      <c r="H327" s="3">
        <f t="shared" si="22"/>
        <v>4.0864167816555677E-2</v>
      </c>
      <c r="I327">
        <f t="shared" si="23"/>
        <v>29.119155041040525</v>
      </c>
      <c r="J327">
        <f t="shared" si="24"/>
        <v>28.230960987289027</v>
      </c>
      <c r="K327">
        <v>7.8969999999999995E-3</v>
      </c>
    </row>
    <row r="328" spans="1:11" ht="15" x14ac:dyDescent="0.25">
      <c r="A328" s="1" t="s">
        <v>5</v>
      </c>
      <c r="B328" s="1" t="s">
        <v>324</v>
      </c>
      <c r="C328" s="1">
        <v>40.5</v>
      </c>
      <c r="D328" s="1">
        <v>54.8</v>
      </c>
      <c r="E328" s="1">
        <v>29.63</v>
      </c>
      <c r="F328" s="5">
        <f t="shared" si="20"/>
        <v>45470.543067129627</v>
      </c>
      <c r="G328" s="3">
        <f t="shared" si="21"/>
        <v>7.5814782591012389E-2</v>
      </c>
      <c r="H328" s="3">
        <f t="shared" si="22"/>
        <v>4.154650085987479E-2</v>
      </c>
      <c r="I328">
        <f t="shared" si="23"/>
        <v>29.401968777926712</v>
      </c>
      <c r="J328">
        <f t="shared" si="24"/>
        <v>28.702349946260458</v>
      </c>
      <c r="K328">
        <v>7.4679999999999998E-3</v>
      </c>
    </row>
    <row r="329" spans="1:11" ht="15" x14ac:dyDescent="0.25">
      <c r="A329" s="1" t="s">
        <v>5</v>
      </c>
      <c r="B329" s="1" t="s">
        <v>325</v>
      </c>
      <c r="C329" s="1">
        <v>40.5</v>
      </c>
      <c r="D329" s="1">
        <v>54.7</v>
      </c>
      <c r="E329" s="1">
        <v>29.6</v>
      </c>
      <c r="F329" s="5">
        <f t="shared" si="20"/>
        <v>45470.543298611112</v>
      </c>
      <c r="G329" s="3">
        <f t="shared" si="21"/>
        <v>7.5814782591012389E-2</v>
      </c>
      <c r="H329" s="3">
        <f t="shared" si="22"/>
        <v>4.1470686077283776E-2</v>
      </c>
      <c r="I329">
        <f t="shared" si="23"/>
        <v>29.370747897538411</v>
      </c>
      <c r="J329">
        <f t="shared" si="24"/>
        <v>28.649973395263633</v>
      </c>
      <c r="K329">
        <v>7.757E-3</v>
      </c>
    </row>
    <row r="330" spans="1:11" ht="15" x14ac:dyDescent="0.25">
      <c r="A330" s="1" t="s">
        <v>5</v>
      </c>
      <c r="B330" s="1" t="s">
        <v>326</v>
      </c>
      <c r="C330" s="1">
        <v>40.6</v>
      </c>
      <c r="D330" s="1">
        <v>55.6</v>
      </c>
      <c r="E330" s="1">
        <v>29.98</v>
      </c>
      <c r="F330" s="5">
        <f t="shared" ref="F330:F393" si="25">A330+B330</f>
        <v>45470.543530092589</v>
      </c>
      <c r="G330" s="3">
        <f t="shared" ref="G330:G393" si="26">$B$2*EXP(($B$3-C330/$B$5)*(C330/($B$4+C330)))</f>
        <v>7.6218535824478031E-2</v>
      </c>
      <c r="H330" s="3">
        <f t="shared" ref="H330:H393" si="27">D330*G330/100</f>
        <v>4.2377505918409789E-2</v>
      </c>
      <c r="I330">
        <f t="shared" ref="I330:I393" si="28">$B$4*LN(H330/$B$2)/($B$3-LN(H330/$B$2))</f>
        <v>29.740931203789501</v>
      </c>
      <c r="J330">
        <f t="shared" ref="J330:J393" si="29">1000*H330*100000/($B$6*(C330+273.15))</f>
        <v>29.267117648347309</v>
      </c>
      <c r="K330">
        <v>7.7850000000000003E-3</v>
      </c>
    </row>
    <row r="331" spans="1:11" ht="15" x14ac:dyDescent="0.25">
      <c r="A331" s="1" t="s">
        <v>5</v>
      </c>
      <c r="B331" s="1" t="s">
        <v>327</v>
      </c>
      <c r="C331" s="1">
        <v>40.6</v>
      </c>
      <c r="D331" s="1">
        <v>55.1</v>
      </c>
      <c r="E331" s="1">
        <v>29.82</v>
      </c>
      <c r="F331" s="5">
        <f t="shared" si="25"/>
        <v>45470.543761574074</v>
      </c>
      <c r="G331" s="3">
        <f t="shared" si="26"/>
        <v>7.6218535824478031E-2</v>
      </c>
      <c r="H331" s="3">
        <f t="shared" si="27"/>
        <v>4.1996413239287399E-2</v>
      </c>
      <c r="I331">
        <f t="shared" si="28"/>
        <v>29.586219057296386</v>
      </c>
      <c r="J331">
        <f t="shared" si="29"/>
        <v>29.003924144315409</v>
      </c>
      <c r="K331">
        <v>8.2520000000000007E-3</v>
      </c>
    </row>
    <row r="332" spans="1:11" ht="15" x14ac:dyDescent="0.25">
      <c r="A332" s="1" t="s">
        <v>5</v>
      </c>
      <c r="B332" s="1" t="s">
        <v>328</v>
      </c>
      <c r="C332" s="1">
        <v>40.700000000000003</v>
      </c>
      <c r="D332" s="1">
        <v>55.3</v>
      </c>
      <c r="E332" s="1">
        <v>29.97</v>
      </c>
      <c r="F332" s="5">
        <f t="shared" si="25"/>
        <v>45470.543993055559</v>
      </c>
      <c r="G332" s="3">
        <f t="shared" si="26"/>
        <v>7.6624144023923632E-2</v>
      </c>
      <c r="H332" s="3">
        <f t="shared" si="27"/>
        <v>4.2373151645229763E-2</v>
      </c>
      <c r="I332">
        <f t="shared" si="28"/>
        <v>29.739170431155795</v>
      </c>
      <c r="J332">
        <f t="shared" si="29"/>
        <v>29.254786228095973</v>
      </c>
      <c r="K332">
        <v>7.9810000000000002E-3</v>
      </c>
    </row>
    <row r="333" spans="1:11" ht="15" x14ac:dyDescent="0.25">
      <c r="A333" s="1" t="s">
        <v>5</v>
      </c>
      <c r="B333" s="1" t="s">
        <v>329</v>
      </c>
      <c r="C333" s="1">
        <v>40.700000000000003</v>
      </c>
      <c r="D333" s="1">
        <v>55</v>
      </c>
      <c r="E333" s="1">
        <v>29.88</v>
      </c>
      <c r="F333" s="5">
        <f t="shared" si="25"/>
        <v>45470.544224537036</v>
      </c>
      <c r="G333" s="3">
        <f t="shared" si="26"/>
        <v>7.6624144023923632E-2</v>
      </c>
      <c r="H333" s="3">
        <f t="shared" si="27"/>
        <v>4.2143279213157997E-2</v>
      </c>
      <c r="I333">
        <f t="shared" si="28"/>
        <v>29.645988063080086</v>
      </c>
      <c r="J333">
        <f t="shared" si="29"/>
        <v>29.096080335357666</v>
      </c>
      <c r="K333">
        <v>7.4900000000000001E-3</v>
      </c>
    </row>
    <row r="334" spans="1:11" ht="15" x14ac:dyDescent="0.25">
      <c r="A334" s="1" t="s">
        <v>5</v>
      </c>
      <c r="B334" s="1" t="s">
        <v>330</v>
      </c>
      <c r="C334" s="1">
        <v>40.700000000000003</v>
      </c>
      <c r="D334" s="1">
        <v>55.3</v>
      </c>
      <c r="E334" s="1">
        <v>29.97</v>
      </c>
      <c r="F334" s="5">
        <f t="shared" si="25"/>
        <v>45470.544456018521</v>
      </c>
      <c r="G334" s="3">
        <f t="shared" si="26"/>
        <v>7.6624144023923632E-2</v>
      </c>
      <c r="H334" s="3">
        <f t="shared" si="27"/>
        <v>4.2373151645229763E-2</v>
      </c>
      <c r="I334">
        <f t="shared" si="28"/>
        <v>29.739170431155795</v>
      </c>
      <c r="J334">
        <f t="shared" si="29"/>
        <v>29.254786228095973</v>
      </c>
      <c r="K334">
        <v>7.5449999999999996E-3</v>
      </c>
    </row>
    <row r="335" spans="1:11" ht="15" x14ac:dyDescent="0.25">
      <c r="A335" s="1" t="s">
        <v>5</v>
      </c>
      <c r="B335" s="1" t="s">
        <v>331</v>
      </c>
      <c r="C335" s="1">
        <v>40.700000000000003</v>
      </c>
      <c r="D335" s="1">
        <v>55.4</v>
      </c>
      <c r="E335" s="1">
        <v>30.01</v>
      </c>
      <c r="F335" s="5">
        <f t="shared" si="25"/>
        <v>45470.544687499998</v>
      </c>
      <c r="G335" s="3">
        <f t="shared" si="26"/>
        <v>7.6624144023923632E-2</v>
      </c>
      <c r="H335" s="3">
        <f t="shared" si="27"/>
        <v>4.2449775789253692E-2</v>
      </c>
      <c r="I335">
        <f t="shared" si="28"/>
        <v>29.77013231552672</v>
      </c>
      <c r="J335">
        <f t="shared" si="29"/>
        <v>29.307688192342088</v>
      </c>
      <c r="K335">
        <v>7.6080000000000002E-3</v>
      </c>
    </row>
    <row r="336" spans="1:11" ht="15" x14ac:dyDescent="0.25">
      <c r="A336" s="1" t="s">
        <v>5</v>
      </c>
      <c r="B336" s="1" t="s">
        <v>332</v>
      </c>
      <c r="C336" s="1">
        <v>40.799999999999997</v>
      </c>
      <c r="D336" s="1">
        <v>55.3</v>
      </c>
      <c r="E336" s="1">
        <v>30.07</v>
      </c>
      <c r="F336" s="5">
        <f t="shared" si="25"/>
        <v>45470.544918981483</v>
      </c>
      <c r="G336" s="3">
        <f t="shared" si="26"/>
        <v>7.7031614225780573E-2</v>
      </c>
      <c r="H336" s="3">
        <f t="shared" si="27"/>
        <v>4.2598482666856653E-2</v>
      </c>
      <c r="I336">
        <f t="shared" si="28"/>
        <v>29.83008084899674</v>
      </c>
      <c r="J336">
        <f t="shared" si="29"/>
        <v>29.400988844899711</v>
      </c>
      <c r="K336">
        <v>7.7079999999999996E-3</v>
      </c>
    </row>
    <row r="337" spans="1:11" ht="15" x14ac:dyDescent="0.25">
      <c r="A337" s="1" t="s">
        <v>5</v>
      </c>
      <c r="B337" s="1" t="s">
        <v>333</v>
      </c>
      <c r="C337" s="1">
        <v>40.799999999999997</v>
      </c>
      <c r="D337" s="1">
        <v>55.6</v>
      </c>
      <c r="E337" s="1">
        <v>30.16</v>
      </c>
      <c r="F337" s="5">
        <f t="shared" si="25"/>
        <v>45470.54515046296</v>
      </c>
      <c r="G337" s="3">
        <f t="shared" si="26"/>
        <v>7.7031614225780573E-2</v>
      </c>
      <c r="H337" s="3">
        <f t="shared" si="27"/>
        <v>4.2829577509533999E-2</v>
      </c>
      <c r="I337">
        <f t="shared" si="28"/>
        <v>29.922877949701007</v>
      </c>
      <c r="J337">
        <f t="shared" si="29"/>
        <v>29.560487880224663</v>
      </c>
      <c r="K337">
        <v>7.8370000000000002E-3</v>
      </c>
    </row>
    <row r="338" spans="1:11" ht="15" x14ac:dyDescent="0.25">
      <c r="A338" s="1" t="s">
        <v>5</v>
      </c>
      <c r="B338" s="1" t="s">
        <v>334</v>
      </c>
      <c r="C338" s="1">
        <v>40.799999999999997</v>
      </c>
      <c r="D338" s="1">
        <v>55.8</v>
      </c>
      <c r="E338" s="1">
        <v>30.22</v>
      </c>
      <c r="F338" s="5">
        <f t="shared" si="25"/>
        <v>45470.545381944445</v>
      </c>
      <c r="G338" s="3">
        <f t="shared" si="26"/>
        <v>7.7031614225780573E-2</v>
      </c>
      <c r="H338" s="3">
        <f t="shared" si="27"/>
        <v>4.2983640737985558E-2</v>
      </c>
      <c r="I338">
        <f t="shared" si="28"/>
        <v>29.984498069742404</v>
      </c>
      <c r="J338">
        <f t="shared" si="29"/>
        <v>29.666820570441299</v>
      </c>
      <c r="K338">
        <v>7.8709999999999995E-3</v>
      </c>
    </row>
    <row r="339" spans="1:11" ht="15" x14ac:dyDescent="0.25">
      <c r="A339" s="1" t="s">
        <v>5</v>
      </c>
      <c r="B339" s="1" t="s">
        <v>335</v>
      </c>
      <c r="C339" s="1">
        <v>40.799999999999997</v>
      </c>
      <c r="D339" s="1">
        <v>57</v>
      </c>
      <c r="E339" s="1">
        <v>30.59</v>
      </c>
      <c r="F339" s="5">
        <f t="shared" si="25"/>
        <v>45470.545613425929</v>
      </c>
      <c r="G339" s="3">
        <f t="shared" si="26"/>
        <v>7.7031614225780573E-2</v>
      </c>
      <c r="H339" s="3">
        <f t="shared" si="27"/>
        <v>4.3908020108694927E-2</v>
      </c>
      <c r="I339">
        <f t="shared" si="28"/>
        <v>30.350186979830546</v>
      </c>
      <c r="J339">
        <f t="shared" si="29"/>
        <v>30.304816711741115</v>
      </c>
      <c r="K339">
        <v>7.5040000000000003E-3</v>
      </c>
    </row>
    <row r="340" spans="1:11" ht="15" x14ac:dyDescent="0.25">
      <c r="A340" s="1" t="s">
        <v>5</v>
      </c>
      <c r="B340" s="1" t="s">
        <v>336</v>
      </c>
      <c r="C340" s="1">
        <v>40.700000000000003</v>
      </c>
      <c r="D340" s="1">
        <v>56.5</v>
      </c>
      <c r="E340" s="1">
        <v>30.35</v>
      </c>
      <c r="F340" s="5">
        <f t="shared" si="25"/>
        <v>45470.545844907407</v>
      </c>
      <c r="G340" s="3">
        <f t="shared" si="26"/>
        <v>7.6624144023923632E-2</v>
      </c>
      <c r="H340" s="3">
        <f t="shared" si="27"/>
        <v>4.3292641373516849E-2</v>
      </c>
      <c r="I340">
        <f t="shared" si="28"/>
        <v>30.107504072433549</v>
      </c>
      <c r="J340">
        <f t="shared" si="29"/>
        <v>29.889609799049239</v>
      </c>
      <c r="K340">
        <v>7.9039999999999996E-3</v>
      </c>
    </row>
    <row r="341" spans="1:11" ht="15" x14ac:dyDescent="0.25">
      <c r="A341" s="1" t="s">
        <v>5</v>
      </c>
      <c r="B341" s="1" t="s">
        <v>337</v>
      </c>
      <c r="C341" s="1">
        <v>40.799999999999997</v>
      </c>
      <c r="D341" s="1">
        <v>59</v>
      </c>
      <c r="E341" s="1">
        <v>31.2</v>
      </c>
      <c r="F341" s="5">
        <f t="shared" si="25"/>
        <v>45470.546076388891</v>
      </c>
      <c r="G341" s="3">
        <f t="shared" si="26"/>
        <v>7.7031614225780573E-2</v>
      </c>
      <c r="H341" s="3">
        <f t="shared" si="27"/>
        <v>4.544865239321054E-2</v>
      </c>
      <c r="I341">
        <f t="shared" si="28"/>
        <v>30.944874071925128</v>
      </c>
      <c r="J341">
        <f t="shared" si="29"/>
        <v>31.368143613907471</v>
      </c>
      <c r="K341">
        <v>8.2089999999999993E-3</v>
      </c>
    </row>
    <row r="342" spans="1:11" ht="15" x14ac:dyDescent="0.25">
      <c r="A342" s="1" t="s">
        <v>5</v>
      </c>
      <c r="B342" s="1" t="s">
        <v>338</v>
      </c>
      <c r="C342" s="1">
        <v>41</v>
      </c>
      <c r="D342" s="1">
        <v>60.3</v>
      </c>
      <c r="E342" s="1">
        <v>31.77</v>
      </c>
      <c r="F342" s="5">
        <f t="shared" si="25"/>
        <v>45470.546307870369</v>
      </c>
      <c r="G342" s="3">
        <f t="shared" si="26"/>
        <v>7.7852168883562015E-2</v>
      </c>
      <c r="H342" s="3">
        <f t="shared" si="27"/>
        <v>4.6944857836787895E-2</v>
      </c>
      <c r="I342">
        <f t="shared" si="28"/>
        <v>31.505667887780756</v>
      </c>
      <c r="J342">
        <f t="shared" si="29"/>
        <v>32.380180011989843</v>
      </c>
      <c r="K342">
        <v>8.0669999999999995E-3</v>
      </c>
    </row>
    <row r="343" spans="1:11" ht="15" x14ac:dyDescent="0.25">
      <c r="A343" s="1" t="s">
        <v>5</v>
      </c>
      <c r="B343" s="1" t="s">
        <v>339</v>
      </c>
      <c r="C343" s="1">
        <v>41.3</v>
      </c>
      <c r="D343" s="1">
        <v>63.5</v>
      </c>
      <c r="E343" s="1">
        <v>32.96</v>
      </c>
      <c r="F343" s="5">
        <f t="shared" si="25"/>
        <v>45470.546539351853</v>
      </c>
      <c r="G343" s="3">
        <f t="shared" si="26"/>
        <v>7.9097142963281686E-2</v>
      </c>
      <c r="H343" s="3">
        <f t="shared" si="27"/>
        <v>5.022668578168387E-2</v>
      </c>
      <c r="I343">
        <f t="shared" si="28"/>
        <v>32.682648379538186</v>
      </c>
      <c r="J343">
        <f t="shared" si="29"/>
        <v>34.610766520355753</v>
      </c>
      <c r="K343">
        <v>8.3669999999999994E-3</v>
      </c>
    </row>
    <row r="344" spans="1:11" ht="15" x14ac:dyDescent="0.25">
      <c r="A344" s="1" t="s">
        <v>5</v>
      </c>
      <c r="B344" s="1" t="s">
        <v>340</v>
      </c>
      <c r="C344" s="1">
        <v>41.6</v>
      </c>
      <c r="D344" s="1">
        <v>65.7</v>
      </c>
      <c r="E344" s="1">
        <v>33.85</v>
      </c>
      <c r="F344" s="5">
        <f t="shared" si="25"/>
        <v>45470.546770833331</v>
      </c>
      <c r="G344" s="3">
        <f t="shared" si="26"/>
        <v>8.0359258985882587E-2</v>
      </c>
      <c r="H344" s="3">
        <f t="shared" si="27"/>
        <v>5.2796033153724858E-2</v>
      </c>
      <c r="I344">
        <f t="shared" si="28"/>
        <v>33.557801277488124</v>
      </c>
      <c r="J344">
        <f t="shared" si="29"/>
        <v>36.346604790453384</v>
      </c>
      <c r="K344">
        <v>9.0930000000000004E-3</v>
      </c>
    </row>
    <row r="345" spans="1:11" ht="15" x14ac:dyDescent="0.25">
      <c r="A345" s="1" t="s">
        <v>5</v>
      </c>
      <c r="B345" s="1" t="s">
        <v>341</v>
      </c>
      <c r="C345" s="1">
        <v>42</v>
      </c>
      <c r="D345" s="1">
        <v>68.599999999999994</v>
      </c>
      <c r="E345" s="1">
        <v>35.01</v>
      </c>
      <c r="F345" s="5">
        <f t="shared" si="25"/>
        <v>45470.547002314815</v>
      </c>
      <c r="G345" s="3">
        <f t="shared" si="26"/>
        <v>8.206908179304119E-2</v>
      </c>
      <c r="H345" s="3">
        <f t="shared" si="27"/>
        <v>5.629939011002625E-2</v>
      </c>
      <c r="I345">
        <f t="shared" si="28"/>
        <v>34.692636486133438</v>
      </c>
      <c r="J345">
        <f t="shared" si="29"/>
        <v>38.709242557475349</v>
      </c>
      <c r="K345">
        <v>9.1020000000000007E-3</v>
      </c>
    </row>
    <row r="346" spans="1:11" ht="15" x14ac:dyDescent="0.25">
      <c r="A346" s="1" t="s">
        <v>5</v>
      </c>
      <c r="B346" s="1" t="s">
        <v>342</v>
      </c>
      <c r="C346" s="1">
        <v>42.4</v>
      </c>
      <c r="D346" s="1">
        <v>69.599999999999994</v>
      </c>
      <c r="E346" s="1">
        <v>35.65</v>
      </c>
      <c r="F346" s="5">
        <f t="shared" si="25"/>
        <v>45470.547233796293</v>
      </c>
      <c r="G346" s="3">
        <f t="shared" si="26"/>
        <v>8.3810190261581138E-2</v>
      </c>
      <c r="H346" s="3">
        <f t="shared" si="27"/>
        <v>5.8331892422060473E-2</v>
      </c>
      <c r="I346">
        <f t="shared" si="28"/>
        <v>35.322879455365261</v>
      </c>
      <c r="J346">
        <f t="shared" si="29"/>
        <v>40.055870682763214</v>
      </c>
      <c r="K346">
        <v>9.9590000000000008E-3</v>
      </c>
    </row>
    <row r="347" spans="1:11" ht="15" x14ac:dyDescent="0.25">
      <c r="A347" s="1" t="s">
        <v>5</v>
      </c>
      <c r="B347" s="1" t="s">
        <v>343</v>
      </c>
      <c r="C347" s="1">
        <v>42.7</v>
      </c>
      <c r="D347" s="1">
        <v>69.2</v>
      </c>
      <c r="E347" s="1">
        <v>35.83</v>
      </c>
      <c r="F347" s="5">
        <f t="shared" si="25"/>
        <v>45470.547465277778</v>
      </c>
      <c r="G347" s="3">
        <f t="shared" si="26"/>
        <v>8.5136835744568845E-2</v>
      </c>
      <c r="H347" s="3">
        <f t="shared" si="27"/>
        <v>5.8914690335241646E-2</v>
      </c>
      <c r="I347">
        <f t="shared" si="28"/>
        <v>35.500035448303464</v>
      </c>
      <c r="J347">
        <f t="shared" si="29"/>
        <v>40.417645713953625</v>
      </c>
      <c r="K347">
        <v>9.8019999999999999E-3</v>
      </c>
    </row>
    <row r="348" spans="1:11" ht="15" x14ac:dyDescent="0.25">
      <c r="A348" s="1" t="s">
        <v>5</v>
      </c>
      <c r="B348" s="1" t="s">
        <v>344</v>
      </c>
      <c r="C348" s="1">
        <v>43</v>
      </c>
      <c r="D348" s="1">
        <v>70</v>
      </c>
      <c r="E348" s="1">
        <v>36.33</v>
      </c>
      <c r="F348" s="5">
        <f t="shared" si="25"/>
        <v>45470.547696759262</v>
      </c>
      <c r="G348" s="3">
        <f t="shared" si="26"/>
        <v>8.6481544547368588E-2</v>
      </c>
      <c r="H348" s="3">
        <f t="shared" si="27"/>
        <v>6.0537081183158009E-2</v>
      </c>
      <c r="I348">
        <f t="shared" si="28"/>
        <v>35.985219493182136</v>
      </c>
      <c r="J348">
        <f t="shared" si="29"/>
        <v>41.49125640174028</v>
      </c>
      <c r="K348">
        <v>1.0187999999999999E-2</v>
      </c>
    </row>
    <row r="349" spans="1:11" ht="15" x14ac:dyDescent="0.25">
      <c r="A349" s="1" t="s">
        <v>5</v>
      </c>
      <c r="B349" s="1" t="s">
        <v>345</v>
      </c>
      <c r="C349" s="1">
        <v>43.2</v>
      </c>
      <c r="D349" s="1">
        <v>65.3</v>
      </c>
      <c r="E349" s="1">
        <v>35.25</v>
      </c>
      <c r="F349" s="5">
        <f t="shared" si="25"/>
        <v>45470.54792824074</v>
      </c>
      <c r="G349" s="3">
        <f t="shared" si="26"/>
        <v>8.7388152044731965E-2</v>
      </c>
      <c r="H349" s="3">
        <f t="shared" si="27"/>
        <v>5.706446328520997E-2</v>
      </c>
      <c r="I349">
        <f t="shared" si="28"/>
        <v>34.932182533244486</v>
      </c>
      <c r="J349">
        <f t="shared" si="29"/>
        <v>39.086446851853829</v>
      </c>
      <c r="K349">
        <v>9.7149999999999997E-3</v>
      </c>
    </row>
    <row r="350" spans="1:11" ht="15" x14ac:dyDescent="0.25">
      <c r="A350" s="1" t="s">
        <v>5</v>
      </c>
      <c r="B350" s="1" t="s">
        <v>346</v>
      </c>
      <c r="C350" s="1">
        <v>43.3</v>
      </c>
      <c r="D350" s="1">
        <v>66.599999999999994</v>
      </c>
      <c r="E350" s="1">
        <v>35.700000000000003</v>
      </c>
      <c r="F350" s="5">
        <f t="shared" si="25"/>
        <v>45470.548159722224</v>
      </c>
      <c r="G350" s="3">
        <f t="shared" si="26"/>
        <v>8.7844518875131269E-2</v>
      </c>
      <c r="H350" s="3">
        <f t="shared" si="27"/>
        <v>5.8504449570837426E-2</v>
      </c>
      <c r="I350">
        <f t="shared" si="28"/>
        <v>35.375493892882169</v>
      </c>
      <c r="J350">
        <f t="shared" si="29"/>
        <v>40.060105836801327</v>
      </c>
      <c r="K350">
        <v>9.8239999999999994E-3</v>
      </c>
    </row>
    <row r="351" spans="1:11" ht="15" x14ac:dyDescent="0.25">
      <c r="A351" s="1" t="s">
        <v>5</v>
      </c>
      <c r="B351" s="1" t="s">
        <v>347</v>
      </c>
      <c r="C351" s="1">
        <v>43.4</v>
      </c>
      <c r="D351" s="1">
        <v>62.7</v>
      </c>
      <c r="E351" s="1">
        <v>34.71</v>
      </c>
      <c r="F351" s="5">
        <f t="shared" si="25"/>
        <v>45470.548391203702</v>
      </c>
      <c r="G351" s="3">
        <f t="shared" si="26"/>
        <v>8.8302937850464738E-2</v>
      </c>
      <c r="H351" s="3">
        <f t="shared" si="27"/>
        <v>5.5365942032241398E-2</v>
      </c>
      <c r="I351">
        <f t="shared" si="28"/>
        <v>34.396468132078823</v>
      </c>
      <c r="J351">
        <f t="shared" si="29"/>
        <v>37.899080250008112</v>
      </c>
      <c r="K351">
        <v>9.5499999999999995E-3</v>
      </c>
    </row>
    <row r="352" spans="1:11" ht="15" x14ac:dyDescent="0.25">
      <c r="A352" s="1" t="s">
        <v>5</v>
      </c>
      <c r="B352" s="1" t="s">
        <v>348</v>
      </c>
      <c r="C352" s="1">
        <v>43.5</v>
      </c>
      <c r="D352" s="1">
        <v>70.2</v>
      </c>
      <c r="E352" s="1">
        <v>36.85</v>
      </c>
      <c r="F352" s="5">
        <f t="shared" si="25"/>
        <v>45470.548622685186</v>
      </c>
      <c r="G352" s="3">
        <f t="shared" si="26"/>
        <v>8.8763416564940911E-2</v>
      </c>
      <c r="H352" s="3">
        <f t="shared" si="27"/>
        <v>6.231191842858852E-2</v>
      </c>
      <c r="I352">
        <f t="shared" si="28"/>
        <v>36.503088693047346</v>
      </c>
      <c r="J352">
        <f t="shared" si="29"/>
        <v>42.64026789703663</v>
      </c>
      <c r="K352">
        <v>9.9640000000000006E-3</v>
      </c>
    </row>
    <row r="353" spans="1:11" ht="15" x14ac:dyDescent="0.25">
      <c r="A353" s="1" t="s">
        <v>5</v>
      </c>
      <c r="B353" s="1" t="s">
        <v>349</v>
      </c>
      <c r="C353" s="1">
        <v>43.5</v>
      </c>
      <c r="D353" s="1">
        <v>68.599999999999994</v>
      </c>
      <c r="E353" s="1">
        <v>36.43</v>
      </c>
      <c r="F353" s="5">
        <f t="shared" si="25"/>
        <v>45470.548854166664</v>
      </c>
      <c r="G353" s="3">
        <f t="shared" si="26"/>
        <v>8.8763416564940911E-2</v>
      </c>
      <c r="H353" s="3">
        <f t="shared" si="27"/>
        <v>6.0891703763549458E-2</v>
      </c>
      <c r="I353">
        <f t="shared" si="28"/>
        <v>36.089748583098391</v>
      </c>
      <c r="J353">
        <f t="shared" si="29"/>
        <v>41.668409939269402</v>
      </c>
      <c r="K353">
        <v>9.8569999999999994E-3</v>
      </c>
    </row>
    <row r="354" spans="1:11" ht="15" x14ac:dyDescent="0.25">
      <c r="A354" s="1" t="s">
        <v>5</v>
      </c>
      <c r="B354" s="1" t="s">
        <v>350</v>
      </c>
      <c r="C354" s="1">
        <v>43.5</v>
      </c>
      <c r="D354" s="1">
        <v>62.7</v>
      </c>
      <c r="E354" s="1">
        <v>34.799999999999997</v>
      </c>
      <c r="F354" s="5">
        <f t="shared" si="25"/>
        <v>45470.549085648148</v>
      </c>
      <c r="G354" s="3">
        <f t="shared" si="26"/>
        <v>8.8763416564940911E-2</v>
      </c>
      <c r="H354" s="3">
        <f t="shared" si="27"/>
        <v>5.5654662186217951E-2</v>
      </c>
      <c r="I354">
        <f t="shared" si="28"/>
        <v>34.488540092433304</v>
      </c>
      <c r="J354">
        <f t="shared" si="29"/>
        <v>38.084683720002801</v>
      </c>
      <c r="K354">
        <v>9.7199999999999995E-3</v>
      </c>
    </row>
    <row r="355" spans="1:11" ht="15" x14ac:dyDescent="0.25">
      <c r="A355" s="1" t="s">
        <v>5</v>
      </c>
      <c r="B355" s="1" t="s">
        <v>351</v>
      </c>
      <c r="C355" s="1">
        <v>43.5</v>
      </c>
      <c r="D355" s="1">
        <v>56.5</v>
      </c>
      <c r="E355" s="1">
        <v>32.94</v>
      </c>
      <c r="F355" s="5">
        <f t="shared" si="25"/>
        <v>45470.549317129633</v>
      </c>
      <c r="G355" s="3">
        <f t="shared" si="26"/>
        <v>8.8763416564940911E-2</v>
      </c>
      <c r="H355" s="3">
        <f t="shared" si="27"/>
        <v>5.0151330359191615E-2</v>
      </c>
      <c r="I355">
        <f t="shared" si="28"/>
        <v>32.656392216358888</v>
      </c>
      <c r="J355">
        <f t="shared" si="29"/>
        <v>34.318734133654836</v>
      </c>
      <c r="K355">
        <v>9.0889999999999999E-3</v>
      </c>
    </row>
    <row r="356" spans="1:11" ht="15" x14ac:dyDescent="0.25">
      <c r="A356" s="1" t="s">
        <v>5</v>
      </c>
      <c r="B356" s="1" t="s">
        <v>352</v>
      </c>
      <c r="C356" s="1">
        <v>43.5</v>
      </c>
      <c r="D356" s="1">
        <v>60.9</v>
      </c>
      <c r="E356" s="1">
        <v>34.28</v>
      </c>
      <c r="F356" s="5">
        <f t="shared" si="25"/>
        <v>45470.54954861111</v>
      </c>
      <c r="G356" s="3">
        <f t="shared" si="26"/>
        <v>8.8763416564940911E-2</v>
      </c>
      <c r="H356" s="3">
        <f t="shared" si="27"/>
        <v>5.4056920688049015E-2</v>
      </c>
      <c r="I356">
        <f t="shared" si="28"/>
        <v>33.973658541601097</v>
      </c>
      <c r="J356">
        <f t="shared" si="29"/>
        <v>36.991343517514686</v>
      </c>
      <c r="K356">
        <v>9.3980000000000001E-3</v>
      </c>
    </row>
    <row r="357" spans="1:11" ht="15" x14ac:dyDescent="0.25">
      <c r="A357" s="1" t="s">
        <v>5</v>
      </c>
      <c r="B357" s="1" t="s">
        <v>353</v>
      </c>
      <c r="C357" s="1">
        <v>43.5</v>
      </c>
      <c r="D357" s="1">
        <v>62.7</v>
      </c>
      <c r="E357" s="1">
        <v>34.799999999999997</v>
      </c>
      <c r="F357" s="5">
        <f t="shared" si="25"/>
        <v>45470.549780092595</v>
      </c>
      <c r="G357" s="3">
        <f t="shared" si="26"/>
        <v>8.8763416564940911E-2</v>
      </c>
      <c r="H357" s="3">
        <f t="shared" si="27"/>
        <v>5.5654662186217951E-2</v>
      </c>
      <c r="I357">
        <f t="shared" si="28"/>
        <v>34.488540092433304</v>
      </c>
      <c r="J357">
        <f t="shared" si="29"/>
        <v>38.084683720002801</v>
      </c>
      <c r="K357">
        <v>9.2659999999999999E-3</v>
      </c>
    </row>
    <row r="358" spans="1:11" ht="15" x14ac:dyDescent="0.25">
      <c r="A358" s="1" t="s">
        <v>5</v>
      </c>
      <c r="B358" s="1" t="s">
        <v>354</v>
      </c>
      <c r="C358" s="1">
        <v>43.6</v>
      </c>
      <c r="D358" s="1">
        <v>61</v>
      </c>
      <c r="E358" s="1">
        <v>34.4</v>
      </c>
      <c r="F358" s="5">
        <f t="shared" si="25"/>
        <v>45470.550011574072</v>
      </c>
      <c r="G358" s="3">
        <f t="shared" si="26"/>
        <v>8.9225962633902645E-2</v>
      </c>
      <c r="H358" s="3">
        <f t="shared" si="27"/>
        <v>5.4427837206680617E-2</v>
      </c>
      <c r="I358">
        <f t="shared" si="28"/>
        <v>34.094368843347979</v>
      </c>
      <c r="J358">
        <f t="shared" si="29"/>
        <v>37.233404477305392</v>
      </c>
      <c r="K358">
        <v>9.5359999999999993E-3</v>
      </c>
    </row>
    <row r="359" spans="1:11" ht="15" x14ac:dyDescent="0.25">
      <c r="A359" s="1" t="s">
        <v>5</v>
      </c>
      <c r="B359" s="1" t="s">
        <v>355</v>
      </c>
      <c r="C359" s="1">
        <v>43.7</v>
      </c>
      <c r="D359" s="1">
        <v>59.3</v>
      </c>
      <c r="E359" s="1">
        <v>33.99</v>
      </c>
      <c r="F359" s="5">
        <f t="shared" si="25"/>
        <v>45470.550243055557</v>
      </c>
      <c r="G359" s="3">
        <f t="shared" si="26"/>
        <v>8.9690583693860626E-2</v>
      </c>
      <c r="H359" s="3">
        <f t="shared" si="27"/>
        <v>5.3186516130459348E-2</v>
      </c>
      <c r="I359">
        <f t="shared" si="28"/>
        <v>33.687512313840521</v>
      </c>
      <c r="J359">
        <f t="shared" si="29"/>
        <v>36.372749104399567</v>
      </c>
      <c r="K359">
        <v>9.417E-3</v>
      </c>
    </row>
    <row r="360" spans="1:11" ht="15" x14ac:dyDescent="0.25">
      <c r="A360" s="1" t="s">
        <v>5</v>
      </c>
      <c r="B360" s="1" t="s">
        <v>356</v>
      </c>
      <c r="C360" s="1">
        <v>43.7</v>
      </c>
      <c r="D360" s="1">
        <v>58.3</v>
      </c>
      <c r="E360" s="1">
        <v>33.68</v>
      </c>
      <c r="F360" s="5">
        <f t="shared" si="25"/>
        <v>45470.550474537034</v>
      </c>
      <c r="G360" s="3">
        <f t="shared" si="26"/>
        <v>8.9690583693860626E-2</v>
      </c>
      <c r="H360" s="3">
        <f t="shared" si="27"/>
        <v>5.2289610293520743E-2</v>
      </c>
      <c r="I360">
        <f t="shared" si="28"/>
        <v>33.388315416499395</v>
      </c>
      <c r="J360">
        <f t="shared" si="29"/>
        <v>35.75938065407243</v>
      </c>
      <c r="K360">
        <v>9.1380000000000003E-3</v>
      </c>
    </row>
    <row r="361" spans="1:11" ht="15" x14ac:dyDescent="0.25">
      <c r="A361" s="1" t="s">
        <v>5</v>
      </c>
      <c r="B361" s="1" t="s">
        <v>357</v>
      </c>
      <c r="C361" s="1">
        <v>43.8</v>
      </c>
      <c r="D361" s="1">
        <v>58.9</v>
      </c>
      <c r="E361" s="1">
        <v>33.96</v>
      </c>
      <c r="F361" s="5">
        <f t="shared" si="25"/>
        <v>45470.550706018519</v>
      </c>
      <c r="G361" s="3">
        <f t="shared" si="26"/>
        <v>9.0157287402527056E-2</v>
      </c>
      <c r="H361" s="3">
        <f t="shared" si="27"/>
        <v>5.3102642280088437E-2</v>
      </c>
      <c r="I361">
        <f t="shared" si="28"/>
        <v>33.659721762531056</v>
      </c>
      <c r="J361">
        <f t="shared" si="29"/>
        <v>36.303932391965503</v>
      </c>
      <c r="K361">
        <v>9.0519999999999993E-3</v>
      </c>
    </row>
    <row r="362" spans="1:11" ht="15" x14ac:dyDescent="0.25">
      <c r="A362" s="1" t="s">
        <v>5</v>
      </c>
      <c r="B362" s="1" t="s">
        <v>358</v>
      </c>
      <c r="C362" s="1">
        <v>43.8</v>
      </c>
      <c r="D362" s="1">
        <v>60.4</v>
      </c>
      <c r="E362" s="1">
        <v>34.409999999999997</v>
      </c>
      <c r="F362" s="5">
        <f t="shared" si="25"/>
        <v>45470.550937499997</v>
      </c>
      <c r="G362" s="3">
        <f t="shared" si="26"/>
        <v>9.0157287402527056E-2</v>
      </c>
      <c r="H362" s="3">
        <f t="shared" si="27"/>
        <v>5.4455001591126345E-2</v>
      </c>
      <c r="I362">
        <f t="shared" si="28"/>
        <v>34.103180728283803</v>
      </c>
      <c r="J362">
        <f t="shared" si="29"/>
        <v>37.228480755088562</v>
      </c>
      <c r="K362">
        <v>9.1999999999999998E-3</v>
      </c>
    </row>
    <row r="363" spans="1:11" ht="15" x14ac:dyDescent="0.25">
      <c r="A363" s="1" t="s">
        <v>5</v>
      </c>
      <c r="B363" s="1" t="s">
        <v>359</v>
      </c>
      <c r="C363" s="1">
        <v>44</v>
      </c>
      <c r="D363" s="1">
        <v>60.9</v>
      </c>
      <c r="E363" s="1">
        <v>34.74</v>
      </c>
      <c r="F363" s="5">
        <f t="shared" si="25"/>
        <v>45470.551168981481</v>
      </c>
      <c r="G363" s="3">
        <f t="shared" si="26"/>
        <v>9.1096973503045769E-2</v>
      </c>
      <c r="H363" s="3">
        <f t="shared" si="27"/>
        <v>5.5478056863354872E-2</v>
      </c>
      <c r="I363">
        <f t="shared" si="28"/>
        <v>34.432271190137087</v>
      </c>
      <c r="J363">
        <f t="shared" si="29"/>
        <v>37.903980527654383</v>
      </c>
      <c r="K363">
        <v>9.4120000000000002E-3</v>
      </c>
    </row>
    <row r="364" spans="1:11" ht="15" x14ac:dyDescent="0.25">
      <c r="A364" s="1" t="s">
        <v>5</v>
      </c>
      <c r="B364" s="1" t="s">
        <v>360</v>
      </c>
      <c r="C364" s="1">
        <v>44</v>
      </c>
      <c r="D364" s="1">
        <v>60.9</v>
      </c>
      <c r="E364" s="1">
        <v>34.74</v>
      </c>
      <c r="F364" s="5">
        <f t="shared" si="25"/>
        <v>45470.551400462966</v>
      </c>
      <c r="G364" s="3">
        <f t="shared" si="26"/>
        <v>9.1096973503045769E-2</v>
      </c>
      <c r="H364" s="3">
        <f t="shared" si="27"/>
        <v>5.5478056863354872E-2</v>
      </c>
      <c r="I364">
        <f t="shared" si="28"/>
        <v>34.432271190137087</v>
      </c>
      <c r="J364">
        <f t="shared" si="29"/>
        <v>37.903980527654383</v>
      </c>
      <c r="K364">
        <v>9.6930000000000002E-3</v>
      </c>
    </row>
    <row r="365" spans="1:11" ht="15" x14ac:dyDescent="0.25">
      <c r="A365" s="1" t="s">
        <v>5</v>
      </c>
      <c r="B365" s="1" t="s">
        <v>361</v>
      </c>
      <c r="C365" s="1">
        <v>44.2</v>
      </c>
      <c r="D365" s="1">
        <v>61.9</v>
      </c>
      <c r="E365" s="1">
        <v>35.22</v>
      </c>
      <c r="F365" s="5">
        <f t="shared" si="25"/>
        <v>45470.551631944443</v>
      </c>
      <c r="G365" s="3">
        <f t="shared" si="26"/>
        <v>9.2045082622472935E-2</v>
      </c>
      <c r="H365" s="3">
        <f t="shared" si="27"/>
        <v>5.6975906143310745E-2</v>
      </c>
      <c r="I365">
        <f t="shared" si="28"/>
        <v>34.90459998256577</v>
      </c>
      <c r="J365">
        <f t="shared" si="29"/>
        <v>38.902815445903492</v>
      </c>
      <c r="K365">
        <v>9.6030000000000004E-3</v>
      </c>
    </row>
    <row r="366" spans="1:11" ht="15" x14ac:dyDescent="0.25">
      <c r="A366" s="1" t="s">
        <v>5</v>
      </c>
      <c r="B366" s="1" t="s">
        <v>362</v>
      </c>
      <c r="C366" s="1">
        <v>44.2</v>
      </c>
      <c r="D366" s="1">
        <v>60.7</v>
      </c>
      <c r="E366" s="1">
        <v>34.869999999999997</v>
      </c>
      <c r="F366" s="5">
        <f t="shared" si="25"/>
        <v>45470.551863425928</v>
      </c>
      <c r="G366" s="3">
        <f t="shared" si="26"/>
        <v>9.2045082622472935E-2</v>
      </c>
      <c r="H366" s="3">
        <f t="shared" si="27"/>
        <v>5.5871365151841074E-2</v>
      </c>
      <c r="I366">
        <f t="shared" si="28"/>
        <v>34.557370714114214</v>
      </c>
      <c r="J366">
        <f t="shared" si="29"/>
        <v>38.148641317711508</v>
      </c>
      <c r="K366">
        <v>9.1940000000000008E-3</v>
      </c>
    </row>
    <row r="367" spans="1:11" ht="15" x14ac:dyDescent="0.25">
      <c r="A367" s="1" t="s">
        <v>5</v>
      </c>
      <c r="B367" s="1" t="s">
        <v>363</v>
      </c>
      <c r="C367" s="1">
        <v>44.3</v>
      </c>
      <c r="D367" s="1">
        <v>60.7</v>
      </c>
      <c r="E367" s="1">
        <v>34.96</v>
      </c>
      <c r="F367" s="5">
        <f t="shared" si="25"/>
        <v>45470.552094907405</v>
      </c>
      <c r="G367" s="3">
        <f t="shared" si="26"/>
        <v>9.2522315184786943E-2</v>
      </c>
      <c r="H367" s="3">
        <f t="shared" si="27"/>
        <v>5.6161045317165675E-2</v>
      </c>
      <c r="I367">
        <f t="shared" si="28"/>
        <v>34.649015441869317</v>
      </c>
      <c r="J367">
        <f t="shared" si="29"/>
        <v>38.334353721116067</v>
      </c>
      <c r="K367">
        <v>9.4730000000000005E-3</v>
      </c>
    </row>
    <row r="368" spans="1:11" ht="15" x14ac:dyDescent="0.25">
      <c r="A368" s="1" t="s">
        <v>5</v>
      </c>
      <c r="B368" s="1" t="s">
        <v>364</v>
      </c>
      <c r="C368" s="1">
        <v>44.4</v>
      </c>
      <c r="D368" s="1">
        <v>60.7</v>
      </c>
      <c r="E368" s="1">
        <v>35.06</v>
      </c>
      <c r="F368" s="5">
        <f t="shared" si="25"/>
        <v>45470.55232638889</v>
      </c>
      <c r="G368" s="3">
        <f t="shared" si="26"/>
        <v>9.3001676789207163E-2</v>
      </c>
      <c r="H368" s="3">
        <f t="shared" si="27"/>
        <v>5.6452017811048749E-2</v>
      </c>
      <c r="I368">
        <f t="shared" si="28"/>
        <v>34.74065191426287</v>
      </c>
      <c r="J368">
        <f t="shared" si="29"/>
        <v>38.520830997378361</v>
      </c>
      <c r="K368">
        <v>9.3050000000000008E-3</v>
      </c>
    </row>
    <row r="369" spans="1:11" ht="15" x14ac:dyDescent="0.25">
      <c r="A369" s="1" t="s">
        <v>5</v>
      </c>
      <c r="B369" s="1" t="s">
        <v>365</v>
      </c>
      <c r="C369" s="1">
        <v>44.5</v>
      </c>
      <c r="D369" s="1">
        <v>59.9</v>
      </c>
      <c r="E369" s="1">
        <v>34.909999999999997</v>
      </c>
      <c r="F369" s="5">
        <f t="shared" si="25"/>
        <v>45470.552557870367</v>
      </c>
      <c r="G369" s="3">
        <f t="shared" si="26"/>
        <v>9.3483175242801406E-2</v>
      </c>
      <c r="H369" s="3">
        <f t="shared" si="27"/>
        <v>5.599642197043804E-2</v>
      </c>
      <c r="I369">
        <f t="shared" si="28"/>
        <v>34.596985425876092</v>
      </c>
      <c r="J369">
        <f t="shared" si="29"/>
        <v>38.197919799665065</v>
      </c>
      <c r="K369">
        <v>9.5949999999999994E-3</v>
      </c>
    </row>
    <row r="370" spans="1:11" ht="15" x14ac:dyDescent="0.25">
      <c r="A370" s="1" t="s">
        <v>5</v>
      </c>
      <c r="B370" s="1" t="s">
        <v>366</v>
      </c>
      <c r="C370" s="1">
        <v>44.5</v>
      </c>
      <c r="D370" s="1">
        <v>58.9</v>
      </c>
      <c r="E370" s="1">
        <v>34.61</v>
      </c>
      <c r="F370" s="5">
        <f t="shared" si="25"/>
        <v>45470.552789351852</v>
      </c>
      <c r="G370" s="3">
        <f t="shared" si="26"/>
        <v>9.3483175242801406E-2</v>
      </c>
      <c r="H370" s="3">
        <f t="shared" si="27"/>
        <v>5.5061590218010027E-2</v>
      </c>
      <c r="I370">
        <f t="shared" si="28"/>
        <v>34.298953429739775</v>
      </c>
      <c r="J370">
        <f t="shared" si="29"/>
        <v>37.560224978301704</v>
      </c>
      <c r="K370">
        <v>9.6839999999999999E-3</v>
      </c>
    </row>
    <row r="371" spans="1:11" ht="15" x14ac:dyDescent="0.25">
      <c r="A371" s="1" t="s">
        <v>5</v>
      </c>
      <c r="B371" s="1" t="s">
        <v>367</v>
      </c>
      <c r="C371" s="1">
        <v>44.7</v>
      </c>
      <c r="D371" s="1">
        <v>58.6</v>
      </c>
      <c r="E371" s="1">
        <v>34.700000000000003</v>
      </c>
      <c r="F371" s="5">
        <f t="shared" si="25"/>
        <v>45470.553020833337</v>
      </c>
      <c r="G371" s="3">
        <f t="shared" si="26"/>
        <v>9.445261403317258E-2</v>
      </c>
      <c r="H371" s="3">
        <f t="shared" si="27"/>
        <v>5.5349231823439135E-2</v>
      </c>
      <c r="I371">
        <f t="shared" si="28"/>
        <v>34.391126394640573</v>
      </c>
      <c r="J371">
        <f t="shared" si="29"/>
        <v>37.732682102130958</v>
      </c>
      <c r="K371">
        <v>9.7140000000000004E-3</v>
      </c>
    </row>
    <row r="372" spans="1:11" ht="15" x14ac:dyDescent="0.25">
      <c r="A372" s="1" t="s">
        <v>5</v>
      </c>
      <c r="B372" s="1" t="s">
        <v>368</v>
      </c>
      <c r="C372" s="1">
        <v>44.7</v>
      </c>
      <c r="D372" s="1">
        <v>58.4</v>
      </c>
      <c r="E372" s="1">
        <v>34.64</v>
      </c>
      <c r="F372" s="5">
        <f t="shared" si="25"/>
        <v>45470.553252314814</v>
      </c>
      <c r="G372" s="3">
        <f t="shared" si="26"/>
        <v>9.445261403317258E-2</v>
      </c>
      <c r="H372" s="3">
        <f t="shared" si="27"/>
        <v>5.5160326595372781E-2</v>
      </c>
      <c r="I372">
        <f t="shared" si="28"/>
        <v>34.33064047503872</v>
      </c>
      <c r="J372">
        <f t="shared" si="29"/>
        <v>37.60390161714075</v>
      </c>
      <c r="K372">
        <v>9.051E-3</v>
      </c>
    </row>
    <row r="373" spans="1:11" ht="15" x14ac:dyDescent="0.25">
      <c r="A373" s="1" t="s">
        <v>5</v>
      </c>
      <c r="B373" s="1" t="s">
        <v>369</v>
      </c>
      <c r="C373" s="1">
        <v>44.8</v>
      </c>
      <c r="D373" s="1">
        <v>57.9</v>
      </c>
      <c r="E373" s="1">
        <v>34.58</v>
      </c>
      <c r="F373" s="5">
        <f t="shared" si="25"/>
        <v>45470.553483796299</v>
      </c>
      <c r="G373" s="3">
        <f t="shared" si="26"/>
        <v>9.4940570091574833E-2</v>
      </c>
      <c r="H373" s="3">
        <f t="shared" si="27"/>
        <v>5.4970590083021832E-2</v>
      </c>
      <c r="I373">
        <f t="shared" si="28"/>
        <v>34.269704901899011</v>
      </c>
      <c r="J373">
        <f t="shared" si="29"/>
        <v>37.462768124700432</v>
      </c>
      <c r="K373">
        <v>9.4230000000000008E-3</v>
      </c>
    </row>
    <row r="374" spans="1:11" ht="15" x14ac:dyDescent="0.25">
      <c r="A374" s="1" t="s">
        <v>5</v>
      </c>
      <c r="B374" s="1" t="s">
        <v>370</v>
      </c>
      <c r="C374" s="1">
        <v>44.8</v>
      </c>
      <c r="D374" s="1">
        <v>57.8</v>
      </c>
      <c r="E374" s="1">
        <v>34.549999999999997</v>
      </c>
      <c r="F374" s="5">
        <f t="shared" si="25"/>
        <v>45470.553715277776</v>
      </c>
      <c r="G374" s="3">
        <f t="shared" si="26"/>
        <v>9.4940570091574833E-2</v>
      </c>
      <c r="H374" s="3">
        <f t="shared" si="27"/>
        <v>5.4875649512930245E-2</v>
      </c>
      <c r="I374">
        <f t="shared" si="28"/>
        <v>34.239144489596704</v>
      </c>
      <c r="J374">
        <f t="shared" si="29"/>
        <v>37.398065589079174</v>
      </c>
      <c r="K374">
        <v>9.8969999999999995E-3</v>
      </c>
    </row>
    <row r="375" spans="1:11" ht="15" x14ac:dyDescent="0.25">
      <c r="A375" s="1" t="s">
        <v>5</v>
      </c>
      <c r="B375" s="1" t="s">
        <v>371</v>
      </c>
      <c r="C375" s="1">
        <v>44.9</v>
      </c>
      <c r="D375" s="1">
        <v>57.5</v>
      </c>
      <c r="E375" s="1">
        <v>34.549999999999997</v>
      </c>
      <c r="F375" s="5">
        <f t="shared" si="25"/>
        <v>45470.553946759261</v>
      </c>
      <c r="G375" s="3">
        <f t="shared" si="26"/>
        <v>9.5430694442468961E-2</v>
      </c>
      <c r="H375" s="3">
        <f t="shared" si="27"/>
        <v>5.4872649304419652E-2</v>
      </c>
      <c r="I375">
        <f t="shared" si="28"/>
        <v>34.238177995704355</v>
      </c>
      <c r="J375">
        <f t="shared" si="29"/>
        <v>37.384263023724209</v>
      </c>
      <c r="K375">
        <v>9.5180000000000004E-3</v>
      </c>
    </row>
    <row r="376" spans="1:11" ht="15" x14ac:dyDescent="0.25">
      <c r="A376" s="1" t="s">
        <v>5</v>
      </c>
      <c r="B376" s="1" t="s">
        <v>372</v>
      </c>
      <c r="C376" s="1">
        <v>45</v>
      </c>
      <c r="D376" s="1">
        <v>57.3</v>
      </c>
      <c r="E376" s="1">
        <v>34.58</v>
      </c>
      <c r="F376" s="5">
        <f t="shared" si="25"/>
        <v>45470.554178240738</v>
      </c>
      <c r="G376" s="3">
        <f t="shared" si="26"/>
        <v>9.5922995000613701E-2</v>
      </c>
      <c r="H376" s="3">
        <f t="shared" si="27"/>
        <v>5.4963876135351641E-2</v>
      </c>
      <c r="I376">
        <f t="shared" si="28"/>
        <v>34.267545274298918</v>
      </c>
      <c r="J376">
        <f t="shared" si="29"/>
        <v>37.434645027039039</v>
      </c>
      <c r="K376">
        <v>9.3980000000000001E-3</v>
      </c>
    </row>
    <row r="377" spans="1:11" ht="15" x14ac:dyDescent="0.25">
      <c r="A377" s="1" t="s">
        <v>5</v>
      </c>
      <c r="B377" s="1" t="s">
        <v>373</v>
      </c>
      <c r="C377" s="1">
        <v>45.1</v>
      </c>
      <c r="D377" s="1">
        <v>57</v>
      </c>
      <c r="E377" s="1">
        <v>34.57</v>
      </c>
      <c r="F377" s="5">
        <f t="shared" si="25"/>
        <v>45470.554409722223</v>
      </c>
      <c r="G377" s="3">
        <f t="shared" si="26"/>
        <v>9.641747970240655E-2</v>
      </c>
      <c r="H377" s="3">
        <f t="shared" si="27"/>
        <v>5.495796343037173E-2</v>
      </c>
      <c r="I377">
        <f t="shared" si="28"/>
        <v>34.265643184755774</v>
      </c>
      <c r="J377">
        <f t="shared" si="29"/>
        <v>37.418856630031165</v>
      </c>
      <c r="K377">
        <v>9.2090000000000002E-3</v>
      </c>
    </row>
    <row r="378" spans="1:11" ht="15" x14ac:dyDescent="0.25">
      <c r="A378" s="1" t="s">
        <v>5</v>
      </c>
      <c r="B378" s="1" t="s">
        <v>374</v>
      </c>
      <c r="C378" s="1">
        <v>45.2</v>
      </c>
      <c r="D378" s="1">
        <v>57.9</v>
      </c>
      <c r="E378" s="1">
        <v>34.950000000000003</v>
      </c>
      <c r="F378" s="5">
        <f t="shared" si="25"/>
        <v>45470.5546412037</v>
      </c>
      <c r="G378" s="3">
        <f t="shared" si="26"/>
        <v>9.6914156505917212E-2</v>
      </c>
      <c r="H378" s="3">
        <f t="shared" si="27"/>
        <v>5.6113296616926059E-2</v>
      </c>
      <c r="I378">
        <f t="shared" si="28"/>
        <v>34.63393804096232</v>
      </c>
      <c r="J378">
        <f t="shared" si="29"/>
        <v>38.19347942468525</v>
      </c>
      <c r="K378">
        <v>9.2189999999999998E-3</v>
      </c>
    </row>
    <row r="379" spans="1:11" ht="15" x14ac:dyDescent="0.25">
      <c r="A379" s="1" t="s">
        <v>5</v>
      </c>
      <c r="B379" s="1" t="s">
        <v>375</v>
      </c>
      <c r="C379" s="1">
        <v>45.2</v>
      </c>
      <c r="D379" s="1">
        <v>57.9</v>
      </c>
      <c r="E379" s="1">
        <v>34.950000000000003</v>
      </c>
      <c r="F379" s="5">
        <f t="shared" si="25"/>
        <v>45470.554872685185</v>
      </c>
      <c r="G379" s="3">
        <f t="shared" si="26"/>
        <v>9.6914156505917212E-2</v>
      </c>
      <c r="H379" s="3">
        <f t="shared" si="27"/>
        <v>5.6113296616926059E-2</v>
      </c>
      <c r="I379">
        <f t="shared" si="28"/>
        <v>34.63393804096232</v>
      </c>
      <c r="J379">
        <f t="shared" si="29"/>
        <v>38.19347942468525</v>
      </c>
      <c r="K379">
        <v>9.4680000000000007E-3</v>
      </c>
    </row>
    <row r="380" spans="1:11" ht="15" x14ac:dyDescent="0.25">
      <c r="A380" s="1" t="s">
        <v>5</v>
      </c>
      <c r="B380" s="1" t="s">
        <v>376</v>
      </c>
      <c r="C380" s="1">
        <v>45.3</v>
      </c>
      <c r="D380" s="1">
        <v>58.7</v>
      </c>
      <c r="E380" s="1">
        <v>35.29</v>
      </c>
      <c r="F380" s="5">
        <f t="shared" si="25"/>
        <v>45470.555104166669</v>
      </c>
      <c r="G380" s="3">
        <f t="shared" si="26"/>
        <v>9.7413033390920806E-2</v>
      </c>
      <c r="H380" s="3">
        <f t="shared" si="27"/>
        <v>5.7181450600470515E-2</v>
      </c>
      <c r="I380">
        <f t="shared" si="28"/>
        <v>34.968562535259437</v>
      </c>
      <c r="J380">
        <f t="shared" si="29"/>
        <v>38.908295888430679</v>
      </c>
      <c r="K380">
        <v>9.3519999999999992E-3</v>
      </c>
    </row>
    <row r="381" spans="1:11" ht="15" x14ac:dyDescent="0.25">
      <c r="A381" s="1" t="s">
        <v>5</v>
      </c>
      <c r="B381" s="1" t="s">
        <v>377</v>
      </c>
      <c r="C381" s="1">
        <v>45.3</v>
      </c>
      <c r="D381" s="1">
        <v>57.3</v>
      </c>
      <c r="E381" s="1">
        <v>34.85</v>
      </c>
      <c r="F381" s="5">
        <f t="shared" si="25"/>
        <v>45470.555335648147</v>
      </c>
      <c r="G381" s="3">
        <f t="shared" si="26"/>
        <v>9.7413033390920806E-2</v>
      </c>
      <c r="H381" s="3">
        <f t="shared" si="27"/>
        <v>5.5817668132997621E-2</v>
      </c>
      <c r="I381">
        <f t="shared" si="28"/>
        <v>34.540337000967703</v>
      </c>
      <c r="J381">
        <f t="shared" si="29"/>
        <v>37.980329717326718</v>
      </c>
      <c r="K381">
        <v>9.6880000000000004E-3</v>
      </c>
    </row>
    <row r="382" spans="1:11" ht="15" x14ac:dyDescent="0.25">
      <c r="A382" s="1" t="s">
        <v>5</v>
      </c>
      <c r="B382" s="1" t="s">
        <v>378</v>
      </c>
      <c r="C382" s="1">
        <v>45.4</v>
      </c>
      <c r="D382" s="1">
        <v>57.8</v>
      </c>
      <c r="E382" s="1">
        <v>35.1</v>
      </c>
      <c r="F382" s="5">
        <f t="shared" si="25"/>
        <v>45470.555567129632</v>
      </c>
      <c r="G382" s="3">
        <f t="shared" si="26"/>
        <v>9.7914118358931823E-2</v>
      </c>
      <c r="H382" s="3">
        <f t="shared" si="27"/>
        <v>5.6594360411462589E-2</v>
      </c>
      <c r="I382">
        <f t="shared" si="28"/>
        <v>34.785329072686849</v>
      </c>
      <c r="J382">
        <f t="shared" si="29"/>
        <v>38.496730027508242</v>
      </c>
      <c r="K382">
        <v>9.6729999999999993E-3</v>
      </c>
    </row>
    <row r="383" spans="1:11" ht="15" x14ac:dyDescent="0.25">
      <c r="A383" s="1" t="s">
        <v>5</v>
      </c>
      <c r="B383" s="1" t="s">
        <v>379</v>
      </c>
      <c r="C383" s="1">
        <v>45.4</v>
      </c>
      <c r="D383" s="1">
        <v>57.6</v>
      </c>
      <c r="E383" s="1">
        <v>35.04</v>
      </c>
      <c r="F383" s="5">
        <f t="shared" si="25"/>
        <v>45470.555798611109</v>
      </c>
      <c r="G383" s="3">
        <f t="shared" si="26"/>
        <v>9.7914118358931823E-2</v>
      </c>
      <c r="H383" s="3">
        <f t="shared" si="27"/>
        <v>5.6398532174744734E-2</v>
      </c>
      <c r="I383">
        <f t="shared" si="28"/>
        <v>34.72383876369495</v>
      </c>
      <c r="J383">
        <f t="shared" si="29"/>
        <v>38.363523349212372</v>
      </c>
      <c r="K383">
        <v>9.2079999999999992E-3</v>
      </c>
    </row>
    <row r="384" spans="1:11" ht="15" x14ac:dyDescent="0.25">
      <c r="A384" s="1" t="s">
        <v>5</v>
      </c>
      <c r="B384" s="1" t="s">
        <v>380</v>
      </c>
      <c r="C384" s="1">
        <v>45.5</v>
      </c>
      <c r="D384" s="1">
        <v>58.9</v>
      </c>
      <c r="E384" s="1">
        <v>35.54</v>
      </c>
      <c r="F384" s="5">
        <f t="shared" si="25"/>
        <v>45470.556030092594</v>
      </c>
      <c r="G384" s="3">
        <f t="shared" si="26"/>
        <v>9.8417419433236716E-2</v>
      </c>
      <c r="H384" s="3">
        <f t="shared" si="27"/>
        <v>5.796786004617642E-2</v>
      </c>
      <c r="I384">
        <f t="shared" si="28"/>
        <v>35.211432399327322</v>
      </c>
      <c r="J384">
        <f t="shared" si="29"/>
        <v>39.418640323708836</v>
      </c>
      <c r="K384">
        <v>9.5270000000000007E-3</v>
      </c>
    </row>
    <row r="385" spans="1:11" ht="15" x14ac:dyDescent="0.25">
      <c r="A385" s="1" t="s">
        <v>5</v>
      </c>
      <c r="B385" s="1" t="s">
        <v>381</v>
      </c>
      <c r="C385" s="1">
        <v>45.5</v>
      </c>
      <c r="D385" s="1">
        <v>57.2</v>
      </c>
      <c r="E385" s="1">
        <v>35.01</v>
      </c>
      <c r="F385" s="5">
        <f t="shared" si="25"/>
        <v>45470.556261574071</v>
      </c>
      <c r="G385" s="3">
        <f t="shared" si="26"/>
        <v>9.8417419433236716E-2</v>
      </c>
      <c r="H385" s="3">
        <f t="shared" si="27"/>
        <v>5.6294763915811404E-2</v>
      </c>
      <c r="I385">
        <f t="shared" si="28"/>
        <v>34.691179338507268</v>
      </c>
      <c r="J385">
        <f t="shared" si="29"/>
        <v>38.280920653924383</v>
      </c>
      <c r="K385">
        <v>1.0034E-2</v>
      </c>
    </row>
    <row r="386" spans="1:11" ht="15" x14ac:dyDescent="0.25">
      <c r="A386" s="1" t="s">
        <v>5</v>
      </c>
      <c r="B386" s="1" t="s">
        <v>382</v>
      </c>
      <c r="C386" s="1">
        <v>45.5</v>
      </c>
      <c r="D386" s="1">
        <v>57.8</v>
      </c>
      <c r="E386" s="1">
        <v>35.200000000000003</v>
      </c>
      <c r="F386" s="5">
        <f t="shared" si="25"/>
        <v>45470.556493055556</v>
      </c>
      <c r="G386" s="3">
        <f t="shared" si="26"/>
        <v>9.8417419433236716E-2</v>
      </c>
      <c r="H386" s="3">
        <f t="shared" si="27"/>
        <v>5.6885268432410818E-2</v>
      </c>
      <c r="I386">
        <f t="shared" si="28"/>
        <v>34.876330382448032</v>
      </c>
      <c r="J386">
        <f t="shared" si="29"/>
        <v>38.682468772671832</v>
      </c>
      <c r="K386">
        <v>9.4610000000000007E-3</v>
      </c>
    </row>
    <row r="387" spans="1:11" ht="15" x14ac:dyDescent="0.25">
      <c r="A387" s="1" t="s">
        <v>5</v>
      </c>
      <c r="B387" s="1" t="s">
        <v>383</v>
      </c>
      <c r="C387" s="1">
        <v>45.5</v>
      </c>
      <c r="D387" s="1">
        <v>57.8</v>
      </c>
      <c r="E387" s="1">
        <v>35.200000000000003</v>
      </c>
      <c r="F387" s="5">
        <f t="shared" si="25"/>
        <v>45470.55672453704</v>
      </c>
      <c r="G387" s="3">
        <f t="shared" si="26"/>
        <v>9.8417419433236716E-2</v>
      </c>
      <c r="H387" s="3">
        <f t="shared" si="27"/>
        <v>5.6885268432410818E-2</v>
      </c>
      <c r="I387">
        <f t="shared" si="28"/>
        <v>34.876330382448032</v>
      </c>
      <c r="J387">
        <f t="shared" si="29"/>
        <v>38.682468772671832</v>
      </c>
      <c r="K387">
        <v>9.3390000000000001E-3</v>
      </c>
    </row>
    <row r="388" spans="1:11" ht="15" x14ac:dyDescent="0.25">
      <c r="A388" s="1" t="s">
        <v>5</v>
      </c>
      <c r="B388" s="1" t="s">
        <v>384</v>
      </c>
      <c r="C388" s="1">
        <v>45.5</v>
      </c>
      <c r="D388" s="1">
        <v>56.4</v>
      </c>
      <c r="E388" s="1">
        <v>34.75</v>
      </c>
      <c r="F388" s="5">
        <f t="shared" si="25"/>
        <v>45470.556956018518</v>
      </c>
      <c r="G388" s="3">
        <f t="shared" si="26"/>
        <v>9.8417419433236716E-2</v>
      </c>
      <c r="H388" s="3">
        <f t="shared" si="27"/>
        <v>5.5507424560345513E-2</v>
      </c>
      <c r="I388">
        <f t="shared" si="28"/>
        <v>34.441639044021223</v>
      </c>
      <c r="J388">
        <f t="shared" si="29"/>
        <v>37.745523162261108</v>
      </c>
      <c r="K388">
        <v>9.6100000000000005E-3</v>
      </c>
    </row>
    <row r="389" spans="1:11" ht="15" x14ac:dyDescent="0.25">
      <c r="A389" s="1" t="s">
        <v>5</v>
      </c>
      <c r="B389" s="1" t="s">
        <v>385</v>
      </c>
      <c r="C389" s="1">
        <v>45.5</v>
      </c>
      <c r="D389" s="1">
        <v>57</v>
      </c>
      <c r="E389" s="1">
        <v>34.94</v>
      </c>
      <c r="F389" s="5">
        <f t="shared" si="25"/>
        <v>45470.557187500002</v>
      </c>
      <c r="G389" s="3">
        <f t="shared" si="26"/>
        <v>9.8417419433236716E-2</v>
      </c>
      <c r="H389" s="3">
        <f t="shared" si="27"/>
        <v>5.6097929076944927E-2</v>
      </c>
      <c r="I389">
        <f t="shared" si="28"/>
        <v>34.629083101702285</v>
      </c>
      <c r="J389">
        <f t="shared" si="29"/>
        <v>38.147071281008557</v>
      </c>
      <c r="K389">
        <v>8.966E-3</v>
      </c>
    </row>
    <row r="390" spans="1:11" ht="15" x14ac:dyDescent="0.25">
      <c r="A390" s="1" t="s">
        <v>5</v>
      </c>
      <c r="B390" s="1" t="s">
        <v>386</v>
      </c>
      <c r="C390" s="1">
        <v>45.5</v>
      </c>
      <c r="D390" s="1">
        <v>56.9</v>
      </c>
      <c r="E390" s="1">
        <v>34.909999999999997</v>
      </c>
      <c r="F390" s="5">
        <f t="shared" si="25"/>
        <v>45470.55741898148</v>
      </c>
      <c r="G390" s="3">
        <f t="shared" si="26"/>
        <v>9.8417419433236716E-2</v>
      </c>
      <c r="H390" s="3">
        <f t="shared" si="27"/>
        <v>5.5999511657511693E-2</v>
      </c>
      <c r="I390">
        <f t="shared" si="28"/>
        <v>34.597963173263246</v>
      </c>
      <c r="J390">
        <f t="shared" si="29"/>
        <v>38.080146594550648</v>
      </c>
      <c r="K390">
        <v>9.4909999999999994E-3</v>
      </c>
    </row>
    <row r="391" spans="1:11" ht="15" x14ac:dyDescent="0.25">
      <c r="A391" s="1" t="s">
        <v>5</v>
      </c>
      <c r="B391" s="1" t="s">
        <v>387</v>
      </c>
      <c r="C391" s="1">
        <v>45.5</v>
      </c>
      <c r="D391" s="1">
        <v>57.8</v>
      </c>
      <c r="E391" s="1">
        <v>35.200000000000003</v>
      </c>
      <c r="F391" s="5">
        <f t="shared" si="25"/>
        <v>45470.557650462964</v>
      </c>
      <c r="G391" s="3">
        <f t="shared" si="26"/>
        <v>9.8417419433236716E-2</v>
      </c>
      <c r="H391" s="3">
        <f t="shared" si="27"/>
        <v>5.6885268432410818E-2</v>
      </c>
      <c r="I391">
        <f t="shared" si="28"/>
        <v>34.876330382448032</v>
      </c>
      <c r="J391">
        <f t="shared" si="29"/>
        <v>38.682468772671832</v>
      </c>
      <c r="K391">
        <v>9.9740000000000002E-3</v>
      </c>
    </row>
    <row r="392" spans="1:11" ht="15" x14ac:dyDescent="0.25">
      <c r="A392" s="1" t="s">
        <v>5</v>
      </c>
      <c r="B392" s="1" t="s">
        <v>388</v>
      </c>
      <c r="C392" s="1">
        <v>45.5</v>
      </c>
      <c r="D392" s="1">
        <v>56.7</v>
      </c>
      <c r="E392" s="1">
        <v>34.85</v>
      </c>
      <c r="F392" s="5">
        <f t="shared" si="25"/>
        <v>45470.557881944442</v>
      </c>
      <c r="G392" s="3">
        <f t="shared" si="26"/>
        <v>9.8417419433236716E-2</v>
      </c>
      <c r="H392" s="3">
        <f t="shared" si="27"/>
        <v>5.5802676818645223E-2</v>
      </c>
      <c r="I392">
        <f t="shared" si="28"/>
        <v>34.535578901026945</v>
      </c>
      <c r="J392">
        <f t="shared" si="29"/>
        <v>37.946297221634836</v>
      </c>
      <c r="K392">
        <v>9.2540000000000001E-3</v>
      </c>
    </row>
    <row r="393" spans="1:11" ht="15" x14ac:dyDescent="0.25">
      <c r="A393" s="1" t="s">
        <v>5</v>
      </c>
      <c r="B393" s="1" t="s">
        <v>389</v>
      </c>
      <c r="C393" s="1">
        <v>45.5</v>
      </c>
      <c r="D393" s="1">
        <v>57.8</v>
      </c>
      <c r="E393" s="1">
        <v>35.200000000000003</v>
      </c>
      <c r="F393" s="5">
        <f t="shared" si="25"/>
        <v>45470.558113425926</v>
      </c>
      <c r="G393" s="3">
        <f t="shared" si="26"/>
        <v>9.8417419433236716E-2</v>
      </c>
      <c r="H393" s="3">
        <f t="shared" si="27"/>
        <v>5.6885268432410818E-2</v>
      </c>
      <c r="I393">
        <f t="shared" si="28"/>
        <v>34.876330382448032</v>
      </c>
      <c r="J393">
        <f t="shared" si="29"/>
        <v>38.682468772671832</v>
      </c>
      <c r="K393">
        <v>9.1509999999999994E-3</v>
      </c>
    </row>
    <row r="394" spans="1:11" ht="15" x14ac:dyDescent="0.25">
      <c r="A394" s="1" t="s">
        <v>5</v>
      </c>
      <c r="B394" s="1" t="s">
        <v>390</v>
      </c>
      <c r="C394" s="1">
        <v>45.6</v>
      </c>
      <c r="D394" s="1">
        <v>56.4</v>
      </c>
      <c r="E394" s="1">
        <v>34.85</v>
      </c>
      <c r="F394" s="5">
        <f t="shared" ref="F394:F457" si="30">A394+B394</f>
        <v>45470.558344907404</v>
      </c>
      <c r="G394" s="3">
        <f t="shared" ref="G394:G457" si="31">$B$2*EXP(($B$3-C394/$B$5)*(C394/($B$4+C394)))</f>
        <v>9.8922944658928133E-2</v>
      </c>
      <c r="H394" s="3">
        <f t="shared" ref="H394:H457" si="32">D394*G394/100</f>
        <v>5.5792540787635465E-2</v>
      </c>
      <c r="I394">
        <f t="shared" ref="I394:I457" si="33">$B$4*LN(H394/$B$2)/($B$3-LN(H394/$B$2))</f>
        <v>34.532361185254672</v>
      </c>
      <c r="J394">
        <f t="shared" ref="J394:J457" si="34">1000*H394*100000/($B$6*(C394+273.15))</f>
        <v>37.927502075591846</v>
      </c>
      <c r="K394">
        <v>9.4330000000000004E-3</v>
      </c>
    </row>
    <row r="395" spans="1:11" ht="15" x14ac:dyDescent="0.25">
      <c r="A395" s="1" t="s">
        <v>5</v>
      </c>
      <c r="B395" s="1" t="s">
        <v>391</v>
      </c>
      <c r="C395" s="1">
        <v>45.7</v>
      </c>
      <c r="D395" s="1">
        <v>55.6</v>
      </c>
      <c r="E395" s="1">
        <v>34.68</v>
      </c>
      <c r="F395" s="5">
        <f t="shared" si="30"/>
        <v>45470.558576388888</v>
      </c>
      <c r="G395" s="3">
        <f t="shared" si="31"/>
        <v>9.943070210293746E-2</v>
      </c>
      <c r="H395" s="3">
        <f t="shared" si="32"/>
        <v>5.5283470369233229E-2</v>
      </c>
      <c r="I395">
        <f t="shared" si="33"/>
        <v>34.370090719870177</v>
      </c>
      <c r="J395">
        <f t="shared" si="34"/>
        <v>37.56965188529351</v>
      </c>
      <c r="K395">
        <v>9.332E-3</v>
      </c>
    </row>
    <row r="396" spans="1:11" ht="15" x14ac:dyDescent="0.25">
      <c r="A396" s="1" t="s">
        <v>5</v>
      </c>
      <c r="B396" s="1" t="s">
        <v>392</v>
      </c>
      <c r="C396" s="1">
        <v>45.7</v>
      </c>
      <c r="D396" s="1">
        <v>65</v>
      </c>
      <c r="E396" s="1">
        <v>37.520000000000003</v>
      </c>
      <c r="F396" s="5">
        <f t="shared" si="30"/>
        <v>45470.558807870373</v>
      </c>
      <c r="G396" s="3">
        <f t="shared" si="31"/>
        <v>9.943070210293746E-2</v>
      </c>
      <c r="H396" s="3">
        <f t="shared" si="32"/>
        <v>6.4629956366909352E-2</v>
      </c>
      <c r="I396">
        <f t="shared" si="33"/>
        <v>37.16029902500857</v>
      </c>
      <c r="J396">
        <f t="shared" si="34"/>
        <v>43.921355621296371</v>
      </c>
      <c r="K396">
        <v>1.0214000000000001E-2</v>
      </c>
    </row>
    <row r="397" spans="1:11" ht="15" x14ac:dyDescent="0.25">
      <c r="A397" s="1" t="s">
        <v>5</v>
      </c>
      <c r="B397" s="1" t="s">
        <v>393</v>
      </c>
      <c r="C397" s="1">
        <v>45.7</v>
      </c>
      <c r="D397" s="1">
        <v>64.2</v>
      </c>
      <c r="E397" s="1">
        <v>37.29</v>
      </c>
      <c r="F397" s="5">
        <f t="shared" si="30"/>
        <v>45470.559039351851</v>
      </c>
      <c r="G397" s="3">
        <f t="shared" si="31"/>
        <v>9.943070210293746E-2</v>
      </c>
      <c r="H397" s="3">
        <f t="shared" si="32"/>
        <v>6.3834510750085852E-2</v>
      </c>
      <c r="I397">
        <f t="shared" si="33"/>
        <v>36.937139731507365</v>
      </c>
      <c r="J397">
        <f t="shared" si="34"/>
        <v>43.380785090572722</v>
      </c>
      <c r="K397">
        <v>1.0066E-2</v>
      </c>
    </row>
    <row r="398" spans="1:11" ht="15" x14ac:dyDescent="0.25">
      <c r="A398" s="1" t="s">
        <v>5</v>
      </c>
      <c r="B398" s="1" t="s">
        <v>394</v>
      </c>
      <c r="C398" s="1">
        <v>45.7</v>
      </c>
      <c r="D398" s="1">
        <v>65.400000000000006</v>
      </c>
      <c r="E398" s="1">
        <v>37.64</v>
      </c>
      <c r="F398" s="5">
        <f t="shared" si="30"/>
        <v>45470.559270833335</v>
      </c>
      <c r="G398" s="3">
        <f t="shared" si="31"/>
        <v>9.943070210293746E-2</v>
      </c>
      <c r="H398" s="3">
        <f t="shared" si="32"/>
        <v>6.5027679175321096E-2</v>
      </c>
      <c r="I398">
        <f t="shared" si="33"/>
        <v>37.270976297498052</v>
      </c>
      <c r="J398">
        <f t="shared" si="34"/>
        <v>44.191640886658192</v>
      </c>
      <c r="K398">
        <v>1.048E-2</v>
      </c>
    </row>
    <row r="399" spans="1:11" ht="15" x14ac:dyDescent="0.25">
      <c r="A399" s="1" t="s">
        <v>5</v>
      </c>
      <c r="B399" s="1" t="s">
        <v>395</v>
      </c>
      <c r="C399" s="1">
        <v>45.7</v>
      </c>
      <c r="D399" s="1">
        <v>65.3</v>
      </c>
      <c r="E399" s="1">
        <v>37.61</v>
      </c>
      <c r="F399" s="5">
        <f t="shared" si="30"/>
        <v>45470.559502314813</v>
      </c>
      <c r="G399" s="3">
        <f t="shared" si="31"/>
        <v>9.943070210293746E-2</v>
      </c>
      <c r="H399" s="3">
        <f t="shared" si="32"/>
        <v>6.4928248473218153E-2</v>
      </c>
      <c r="I399">
        <f t="shared" si="33"/>
        <v>37.243362779387134</v>
      </c>
      <c r="J399">
        <f t="shared" si="34"/>
        <v>44.124069570317729</v>
      </c>
      <c r="K399">
        <v>1.0595E-2</v>
      </c>
    </row>
    <row r="400" spans="1:11" ht="15" x14ac:dyDescent="0.25">
      <c r="A400" s="1" t="s">
        <v>5</v>
      </c>
      <c r="B400" s="1" t="s">
        <v>396</v>
      </c>
      <c r="C400" s="1">
        <v>45.7</v>
      </c>
      <c r="D400" s="1">
        <v>65.099999999999994</v>
      </c>
      <c r="E400" s="1">
        <v>37.549999999999997</v>
      </c>
      <c r="F400" s="5">
        <f t="shared" si="30"/>
        <v>45470.559733796297</v>
      </c>
      <c r="G400" s="3">
        <f t="shared" si="31"/>
        <v>9.943070210293746E-2</v>
      </c>
      <c r="H400" s="3">
        <f t="shared" si="32"/>
        <v>6.4729387069012281E-2</v>
      </c>
      <c r="I400">
        <f t="shared" si="33"/>
        <v>37.188024250851775</v>
      </c>
      <c r="J400">
        <f t="shared" si="34"/>
        <v>43.988926937636819</v>
      </c>
      <c r="K400">
        <v>1.0433E-2</v>
      </c>
    </row>
    <row r="401" spans="1:11" ht="15" x14ac:dyDescent="0.25">
      <c r="A401" s="1" t="s">
        <v>5</v>
      </c>
      <c r="B401" s="1" t="s">
        <v>397</v>
      </c>
      <c r="C401" s="1">
        <v>45.7</v>
      </c>
      <c r="D401" s="1">
        <v>67.2</v>
      </c>
      <c r="E401" s="1">
        <v>38.14</v>
      </c>
      <c r="F401" s="5">
        <f t="shared" si="30"/>
        <v>45470.559965277775</v>
      </c>
      <c r="G401" s="3">
        <f t="shared" si="31"/>
        <v>9.943070210293746E-2</v>
      </c>
      <c r="H401" s="3">
        <f t="shared" si="32"/>
        <v>6.6817431813173969E-2</v>
      </c>
      <c r="I401">
        <f t="shared" si="33"/>
        <v>37.761790420511986</v>
      </c>
      <c r="J401">
        <f t="shared" si="34"/>
        <v>45.407924580786393</v>
      </c>
      <c r="K401">
        <v>1.0843E-2</v>
      </c>
    </row>
    <row r="402" spans="1:11" ht="15" x14ac:dyDescent="0.25">
      <c r="A402" s="1" t="s">
        <v>5</v>
      </c>
      <c r="B402" s="1" t="s">
        <v>398</v>
      </c>
      <c r="C402" s="1">
        <v>45.7</v>
      </c>
      <c r="D402" s="1">
        <v>65.599999999999994</v>
      </c>
      <c r="E402" s="1">
        <v>37.69</v>
      </c>
      <c r="F402" s="5">
        <f t="shared" si="30"/>
        <v>45470.560196759259</v>
      </c>
      <c r="G402" s="3">
        <f t="shared" si="31"/>
        <v>9.943070210293746E-2</v>
      </c>
      <c r="H402" s="3">
        <f t="shared" si="32"/>
        <v>6.5226540579526968E-2</v>
      </c>
      <c r="I402">
        <f t="shared" si="33"/>
        <v>37.326092376390413</v>
      </c>
      <c r="J402">
        <f t="shared" si="34"/>
        <v>44.326783519339095</v>
      </c>
      <c r="K402">
        <v>1.0418999999999999E-2</v>
      </c>
    </row>
    <row r="403" spans="1:11" ht="15" x14ac:dyDescent="0.25">
      <c r="A403" s="1" t="s">
        <v>5</v>
      </c>
      <c r="B403" s="1" t="s">
        <v>399</v>
      </c>
      <c r="C403" s="1">
        <v>45.7</v>
      </c>
      <c r="D403" s="1">
        <v>61.9</v>
      </c>
      <c r="E403" s="1">
        <v>36.630000000000003</v>
      </c>
      <c r="F403" s="5">
        <f t="shared" si="30"/>
        <v>45470.560428240744</v>
      </c>
      <c r="G403" s="3">
        <f t="shared" si="31"/>
        <v>9.943070210293746E-2</v>
      </c>
      <c r="H403" s="3">
        <f t="shared" si="32"/>
        <v>6.1547604601718285E-2</v>
      </c>
      <c r="I403">
        <f t="shared" si="33"/>
        <v>36.281682483344646</v>
      </c>
      <c r="J403">
        <f t="shared" si="34"/>
        <v>41.826644814742231</v>
      </c>
      <c r="K403">
        <v>1.0173E-2</v>
      </c>
    </row>
    <row r="404" spans="1:11" ht="15" x14ac:dyDescent="0.25">
      <c r="A404" s="1" t="s">
        <v>5</v>
      </c>
      <c r="B404" s="1" t="s">
        <v>400</v>
      </c>
      <c r="C404" s="1">
        <v>45.6</v>
      </c>
      <c r="D404" s="1">
        <v>72.7</v>
      </c>
      <c r="E404" s="1">
        <v>39.5</v>
      </c>
      <c r="F404" s="5">
        <f t="shared" si="30"/>
        <v>45470.560659722221</v>
      </c>
      <c r="G404" s="3">
        <f t="shared" si="31"/>
        <v>9.8922944658928133E-2</v>
      </c>
      <c r="H404" s="3">
        <f t="shared" si="32"/>
        <v>7.1916980767040756E-2</v>
      </c>
      <c r="I404">
        <f t="shared" si="33"/>
        <v>39.099598393643731</v>
      </c>
      <c r="J404">
        <f t="shared" si="34"/>
        <v>48.888819164814315</v>
      </c>
      <c r="K404">
        <v>1.1077999999999999E-2</v>
      </c>
    </row>
    <row r="405" spans="1:11" ht="15" x14ac:dyDescent="0.25">
      <c r="A405" s="1" t="s">
        <v>5</v>
      </c>
      <c r="B405" s="1" t="s">
        <v>401</v>
      </c>
      <c r="C405" s="1">
        <v>45.5</v>
      </c>
      <c r="D405" s="1">
        <v>66.5</v>
      </c>
      <c r="E405" s="1">
        <v>37.75</v>
      </c>
      <c r="F405" s="5">
        <f t="shared" si="30"/>
        <v>45470.560891203706</v>
      </c>
      <c r="G405" s="3">
        <f t="shared" si="31"/>
        <v>9.8417419433236716E-2</v>
      </c>
      <c r="H405" s="3">
        <f t="shared" si="32"/>
        <v>6.5447583923102418E-2</v>
      </c>
      <c r="I405">
        <f t="shared" si="33"/>
        <v>37.387183613413484</v>
      </c>
      <c r="J405">
        <f t="shared" si="34"/>
        <v>44.504916494509985</v>
      </c>
      <c r="K405">
        <v>1.0892000000000001E-2</v>
      </c>
    </row>
    <row r="406" spans="1:11" ht="15" x14ac:dyDescent="0.25">
      <c r="A406" s="1" t="s">
        <v>5</v>
      </c>
      <c r="B406" s="1" t="s">
        <v>402</v>
      </c>
      <c r="C406" s="1">
        <v>45.5</v>
      </c>
      <c r="D406" s="1">
        <v>58.9</v>
      </c>
      <c r="E406" s="1">
        <v>35.54</v>
      </c>
      <c r="F406" s="5">
        <f t="shared" si="30"/>
        <v>45470.561122685183</v>
      </c>
      <c r="G406" s="3">
        <f t="shared" si="31"/>
        <v>9.8417419433236716E-2</v>
      </c>
      <c r="H406" s="3">
        <f t="shared" si="32"/>
        <v>5.796786004617642E-2</v>
      </c>
      <c r="I406">
        <f t="shared" si="33"/>
        <v>35.211432399327322</v>
      </c>
      <c r="J406">
        <f t="shared" si="34"/>
        <v>39.418640323708836</v>
      </c>
      <c r="K406">
        <v>1.0101000000000001E-2</v>
      </c>
    </row>
    <row r="407" spans="1:11" ht="15" x14ac:dyDescent="0.25">
      <c r="A407" s="1" t="s">
        <v>5</v>
      </c>
      <c r="B407" s="1" t="s">
        <v>403</v>
      </c>
      <c r="C407" s="1">
        <v>45.4</v>
      </c>
      <c r="D407" s="1">
        <v>59.3</v>
      </c>
      <c r="E407" s="1">
        <v>35.57</v>
      </c>
      <c r="F407" s="5">
        <f t="shared" si="30"/>
        <v>45470.561354166668</v>
      </c>
      <c r="G407" s="3">
        <f t="shared" si="31"/>
        <v>9.7914118358931823E-2</v>
      </c>
      <c r="H407" s="3">
        <f t="shared" si="32"/>
        <v>5.8063072186846566E-2</v>
      </c>
      <c r="I407">
        <f t="shared" si="33"/>
        <v>35.240640443023302</v>
      </c>
      <c r="J407">
        <f t="shared" si="34"/>
        <v>39.495780114727317</v>
      </c>
      <c r="K407">
        <v>9.5160000000000002E-3</v>
      </c>
    </row>
    <row r="408" spans="1:11" ht="15" x14ac:dyDescent="0.25">
      <c r="A408" s="1" t="s">
        <v>5</v>
      </c>
      <c r="B408" s="1" t="s">
        <v>404</v>
      </c>
      <c r="C408" s="1">
        <v>45.4</v>
      </c>
      <c r="D408" s="1">
        <v>63.5</v>
      </c>
      <c r="E408" s="1">
        <v>36.81</v>
      </c>
      <c r="F408" s="5">
        <f t="shared" si="30"/>
        <v>45470.561585648145</v>
      </c>
      <c r="G408" s="3">
        <f t="shared" si="31"/>
        <v>9.7914118358931823E-2</v>
      </c>
      <c r="H408" s="3">
        <f t="shared" si="32"/>
        <v>6.2175465157921703E-2</v>
      </c>
      <c r="I408">
        <f t="shared" si="33"/>
        <v>36.463736392070494</v>
      </c>
      <c r="J408">
        <f t="shared" si="34"/>
        <v>42.293120358940712</v>
      </c>
      <c r="K408">
        <v>9.9489999999999995E-3</v>
      </c>
    </row>
    <row r="409" spans="1:11" ht="15" x14ac:dyDescent="0.25">
      <c r="A409" s="1" t="s">
        <v>5</v>
      </c>
      <c r="B409" s="1" t="s">
        <v>405</v>
      </c>
      <c r="C409" s="1">
        <v>45.4</v>
      </c>
      <c r="D409" s="1">
        <v>63.6</v>
      </c>
      <c r="E409" s="1">
        <v>36.840000000000003</v>
      </c>
      <c r="F409" s="5">
        <f t="shared" si="30"/>
        <v>45470.56181712963</v>
      </c>
      <c r="G409" s="3">
        <f t="shared" si="31"/>
        <v>9.7914118358931823E-2</v>
      </c>
      <c r="H409" s="3">
        <f t="shared" si="32"/>
        <v>6.2273379276280648E-2</v>
      </c>
      <c r="I409">
        <f t="shared" si="33"/>
        <v>36.491981904534484</v>
      </c>
      <c r="J409">
        <f t="shared" si="34"/>
        <v>42.359723698088672</v>
      </c>
      <c r="K409">
        <v>1.0055E-2</v>
      </c>
    </row>
    <row r="410" spans="1:11" ht="15" x14ac:dyDescent="0.25">
      <c r="A410" s="1" t="s">
        <v>5</v>
      </c>
      <c r="B410" s="1" t="s">
        <v>406</v>
      </c>
      <c r="C410" s="1">
        <v>45.4</v>
      </c>
      <c r="D410" s="1">
        <v>65.099999999999994</v>
      </c>
      <c r="E410" s="1">
        <v>37.270000000000003</v>
      </c>
      <c r="F410" s="5">
        <f t="shared" si="30"/>
        <v>45470.562048611115</v>
      </c>
      <c r="G410" s="3">
        <f t="shared" si="31"/>
        <v>9.7914118358931823E-2</v>
      </c>
      <c r="H410" s="3">
        <f t="shared" si="32"/>
        <v>6.3742091051664604E-2</v>
      </c>
      <c r="I410">
        <f t="shared" si="33"/>
        <v>36.911053725867042</v>
      </c>
      <c r="J410">
        <f t="shared" si="34"/>
        <v>43.358773785307726</v>
      </c>
      <c r="K410">
        <v>1.0377000000000001E-2</v>
      </c>
    </row>
    <row r="411" spans="1:11" ht="15" x14ac:dyDescent="0.25">
      <c r="A411" s="1" t="s">
        <v>5</v>
      </c>
      <c r="B411" s="1" t="s">
        <v>407</v>
      </c>
      <c r="C411" s="1">
        <v>45.4</v>
      </c>
      <c r="D411" s="1">
        <v>66</v>
      </c>
      <c r="E411" s="1">
        <v>37.520000000000003</v>
      </c>
      <c r="F411" s="5">
        <f t="shared" si="30"/>
        <v>45470.562280092592</v>
      </c>
      <c r="G411" s="3">
        <f t="shared" si="31"/>
        <v>9.7914118358931823E-2</v>
      </c>
      <c r="H411" s="3">
        <f t="shared" si="32"/>
        <v>6.4623318116895007E-2</v>
      </c>
      <c r="I411">
        <f t="shared" si="33"/>
        <v>37.15844668498994</v>
      </c>
      <c r="J411">
        <f t="shared" si="34"/>
        <v>43.958203837639175</v>
      </c>
      <c r="K411">
        <v>1.0553999999999999E-2</v>
      </c>
    </row>
    <row r="412" spans="1:11" ht="15" x14ac:dyDescent="0.25">
      <c r="A412" s="1" t="s">
        <v>5</v>
      </c>
      <c r="B412" s="1" t="s">
        <v>408</v>
      </c>
      <c r="C412" s="1">
        <v>45.5</v>
      </c>
      <c r="D412" s="1">
        <v>65.7</v>
      </c>
      <c r="E412" s="1">
        <v>37.53</v>
      </c>
      <c r="F412" s="5">
        <f t="shared" si="30"/>
        <v>45470.562511574077</v>
      </c>
      <c r="G412" s="3">
        <f t="shared" si="31"/>
        <v>9.8417419433236716E-2</v>
      </c>
      <c r="H412" s="3">
        <f t="shared" si="32"/>
        <v>6.4660244567636527E-2</v>
      </c>
      <c r="I412">
        <f t="shared" si="33"/>
        <v>37.168748539064396</v>
      </c>
      <c r="J412">
        <f t="shared" si="34"/>
        <v>43.96951900284671</v>
      </c>
      <c r="K412">
        <v>1.0599000000000001E-2</v>
      </c>
    </row>
    <row r="413" spans="1:11" ht="15" x14ac:dyDescent="0.25">
      <c r="A413" s="1" t="s">
        <v>5</v>
      </c>
      <c r="B413" s="1" t="s">
        <v>409</v>
      </c>
      <c r="C413" s="1">
        <v>45.5</v>
      </c>
      <c r="D413" s="1">
        <v>65</v>
      </c>
      <c r="E413" s="1">
        <v>37.33</v>
      </c>
      <c r="F413" s="5">
        <f t="shared" si="30"/>
        <v>45470.562743055554</v>
      </c>
      <c r="G413" s="3">
        <f t="shared" si="31"/>
        <v>9.8417419433236716E-2</v>
      </c>
      <c r="H413" s="3">
        <f t="shared" si="32"/>
        <v>6.3971322631603864E-2</v>
      </c>
      <c r="I413">
        <f t="shared" si="33"/>
        <v>36.975694913371967</v>
      </c>
      <c r="J413">
        <f t="shared" si="34"/>
        <v>43.501046197641337</v>
      </c>
      <c r="K413">
        <v>1.0642E-2</v>
      </c>
    </row>
    <row r="414" spans="1:11" ht="15" x14ac:dyDescent="0.25">
      <c r="A414" s="1" t="s">
        <v>5</v>
      </c>
      <c r="B414" s="1" t="s">
        <v>410</v>
      </c>
      <c r="C414" s="1">
        <v>45.5</v>
      </c>
      <c r="D414" s="1">
        <v>61.6</v>
      </c>
      <c r="E414" s="1">
        <v>36.35</v>
      </c>
      <c r="F414" s="5">
        <f t="shared" si="30"/>
        <v>45470.562974537039</v>
      </c>
      <c r="G414" s="3">
        <f t="shared" si="31"/>
        <v>9.8417419433236716E-2</v>
      </c>
      <c r="H414" s="3">
        <f t="shared" si="32"/>
        <v>6.0625130370873824E-2</v>
      </c>
      <c r="I414">
        <f t="shared" si="33"/>
        <v>36.011223071763716</v>
      </c>
      <c r="J414">
        <f t="shared" si="34"/>
        <v>41.225606858072418</v>
      </c>
      <c r="K414">
        <v>1.0222999999999999E-2</v>
      </c>
    </row>
    <row r="415" spans="1:11" ht="15" x14ac:dyDescent="0.25">
      <c r="A415" s="1" t="s">
        <v>5</v>
      </c>
      <c r="B415" s="1" t="s">
        <v>411</v>
      </c>
      <c r="C415" s="1">
        <v>45.5</v>
      </c>
      <c r="D415" s="1">
        <v>61.5</v>
      </c>
      <c r="E415" s="1">
        <v>36.32</v>
      </c>
      <c r="F415" s="5">
        <f t="shared" si="30"/>
        <v>45470.563206018516</v>
      </c>
      <c r="G415" s="3">
        <f t="shared" si="31"/>
        <v>9.8417419433236716E-2</v>
      </c>
      <c r="H415" s="3">
        <f t="shared" si="32"/>
        <v>6.0526712951440576E-2</v>
      </c>
      <c r="I415">
        <f t="shared" si="33"/>
        <v>35.982155257040382</v>
      </c>
      <c r="J415">
        <f t="shared" si="34"/>
        <v>41.158682171614494</v>
      </c>
      <c r="K415">
        <v>1.0055E-2</v>
      </c>
    </row>
    <row r="416" spans="1:11" ht="15" x14ac:dyDescent="0.25">
      <c r="A416" s="1" t="s">
        <v>5</v>
      </c>
      <c r="B416" s="1" t="s">
        <v>412</v>
      </c>
      <c r="C416" s="1">
        <v>45.5</v>
      </c>
      <c r="D416" s="1">
        <v>63.5</v>
      </c>
      <c r="E416" s="1">
        <v>36.909999999999997</v>
      </c>
      <c r="F416" s="5">
        <f t="shared" si="30"/>
        <v>45470.563437500001</v>
      </c>
      <c r="G416" s="3">
        <f t="shared" si="31"/>
        <v>9.8417419433236716E-2</v>
      </c>
      <c r="H416" s="3">
        <f t="shared" si="32"/>
        <v>6.2495061340105316E-2</v>
      </c>
      <c r="I416">
        <f t="shared" si="33"/>
        <v>36.555787288193997</v>
      </c>
      <c r="J416">
        <f t="shared" si="34"/>
        <v>42.497175900772696</v>
      </c>
      <c r="K416">
        <v>1.0290000000000001E-2</v>
      </c>
    </row>
    <row r="417" spans="1:11" ht="15" x14ac:dyDescent="0.25">
      <c r="A417" s="1" t="s">
        <v>5</v>
      </c>
      <c r="B417" s="1" t="s">
        <v>413</v>
      </c>
      <c r="C417" s="1">
        <v>45.6</v>
      </c>
      <c r="D417" s="1">
        <v>63.8</v>
      </c>
      <c r="E417" s="1">
        <v>37.090000000000003</v>
      </c>
      <c r="F417" s="5">
        <f t="shared" si="30"/>
        <v>45470.563668981478</v>
      </c>
      <c r="G417" s="3">
        <f t="shared" si="31"/>
        <v>9.8922944658928133E-2</v>
      </c>
      <c r="H417" s="3">
        <f t="shared" si="32"/>
        <v>6.3112838692396145E-2</v>
      </c>
      <c r="I417">
        <f t="shared" si="33"/>
        <v>36.732555945177801</v>
      </c>
      <c r="J417">
        <f t="shared" si="34"/>
        <v>42.903805539410627</v>
      </c>
      <c r="K417">
        <v>1.0174000000000001E-2</v>
      </c>
    </row>
    <row r="418" spans="1:11" ht="15" x14ac:dyDescent="0.25">
      <c r="A418" s="1" t="s">
        <v>5</v>
      </c>
      <c r="B418" s="1" t="s">
        <v>414</v>
      </c>
      <c r="C418" s="1">
        <v>45.6</v>
      </c>
      <c r="D418" s="1">
        <v>63.8</v>
      </c>
      <c r="E418" s="1">
        <v>37.090000000000003</v>
      </c>
      <c r="F418" s="5">
        <f t="shared" si="30"/>
        <v>45470.563900462963</v>
      </c>
      <c r="G418" s="3">
        <f t="shared" si="31"/>
        <v>9.8922944658928133E-2</v>
      </c>
      <c r="H418" s="3">
        <f t="shared" si="32"/>
        <v>6.3112838692396145E-2</v>
      </c>
      <c r="I418">
        <f t="shared" si="33"/>
        <v>36.732555945177801</v>
      </c>
      <c r="J418">
        <f t="shared" si="34"/>
        <v>42.903805539410627</v>
      </c>
      <c r="K418">
        <v>1.0328E-2</v>
      </c>
    </row>
    <row r="419" spans="1:11" ht="15" x14ac:dyDescent="0.25">
      <c r="A419" s="1" t="s">
        <v>5</v>
      </c>
      <c r="B419" s="1" t="s">
        <v>415</v>
      </c>
      <c r="C419" s="1">
        <v>45.7</v>
      </c>
      <c r="D419" s="1">
        <v>64.400000000000006</v>
      </c>
      <c r="E419" s="1">
        <v>37.35</v>
      </c>
      <c r="F419" s="5">
        <f t="shared" si="30"/>
        <v>45470.564131944448</v>
      </c>
      <c r="G419" s="3">
        <f t="shared" si="31"/>
        <v>9.943070210293746E-2</v>
      </c>
      <c r="H419" s="3">
        <f t="shared" si="32"/>
        <v>6.4033372154291723E-2</v>
      </c>
      <c r="I419">
        <f t="shared" si="33"/>
        <v>36.993157346297401</v>
      </c>
      <c r="J419">
        <f t="shared" si="34"/>
        <v>43.515927723253633</v>
      </c>
      <c r="K419">
        <v>1.0401000000000001E-2</v>
      </c>
    </row>
    <row r="420" spans="1:11" ht="15" x14ac:dyDescent="0.25">
      <c r="A420" s="1" t="s">
        <v>5</v>
      </c>
      <c r="B420" s="1" t="s">
        <v>416</v>
      </c>
      <c r="C420" s="1">
        <v>45.7</v>
      </c>
      <c r="D420" s="1">
        <v>64.099999999999994</v>
      </c>
      <c r="E420" s="1">
        <v>37.270000000000003</v>
      </c>
      <c r="F420" s="5">
        <f t="shared" si="30"/>
        <v>45470.564363425925</v>
      </c>
      <c r="G420" s="3">
        <f t="shared" si="31"/>
        <v>9.943070210293746E-2</v>
      </c>
      <c r="H420" s="3">
        <f t="shared" si="32"/>
        <v>6.3735080047982909E-2</v>
      </c>
      <c r="I420">
        <f t="shared" si="33"/>
        <v>36.909073474514081</v>
      </c>
      <c r="J420">
        <f t="shared" si="34"/>
        <v>43.313213774232267</v>
      </c>
      <c r="K420">
        <v>1.0376E-2</v>
      </c>
    </row>
    <row r="421" spans="1:11" ht="15" x14ac:dyDescent="0.25">
      <c r="A421" s="1" t="s">
        <v>5</v>
      </c>
      <c r="B421" s="1" t="s">
        <v>417</v>
      </c>
      <c r="C421" s="1">
        <v>45.7</v>
      </c>
      <c r="D421" s="1">
        <v>64.2</v>
      </c>
      <c r="E421" s="1">
        <v>37.29</v>
      </c>
      <c r="F421" s="5">
        <f t="shared" si="30"/>
        <v>45470.56459490741</v>
      </c>
      <c r="G421" s="3">
        <f t="shared" si="31"/>
        <v>9.943070210293746E-2</v>
      </c>
      <c r="H421" s="3">
        <f t="shared" si="32"/>
        <v>6.3834510750085852E-2</v>
      </c>
      <c r="I421">
        <f t="shared" si="33"/>
        <v>36.937139731507365</v>
      </c>
      <c r="J421">
        <f t="shared" si="34"/>
        <v>43.380785090572722</v>
      </c>
      <c r="K421">
        <v>1.0333999999999999E-2</v>
      </c>
    </row>
    <row r="422" spans="1:11" ht="15" x14ac:dyDescent="0.25">
      <c r="A422" s="1" t="s">
        <v>5</v>
      </c>
      <c r="B422" s="1" t="s">
        <v>418</v>
      </c>
      <c r="C422" s="1">
        <v>45.7</v>
      </c>
      <c r="D422" s="1">
        <v>64.400000000000006</v>
      </c>
      <c r="E422" s="1">
        <v>37.35</v>
      </c>
      <c r="F422" s="5">
        <f t="shared" si="30"/>
        <v>45470.564826388887</v>
      </c>
      <c r="G422" s="3">
        <f t="shared" si="31"/>
        <v>9.943070210293746E-2</v>
      </c>
      <c r="H422" s="3">
        <f t="shared" si="32"/>
        <v>6.4033372154291723E-2</v>
      </c>
      <c r="I422">
        <f t="shared" si="33"/>
        <v>36.993157346297401</v>
      </c>
      <c r="J422">
        <f t="shared" si="34"/>
        <v>43.515927723253633</v>
      </c>
      <c r="K422">
        <v>1.0448000000000001E-2</v>
      </c>
    </row>
    <row r="423" spans="1:11" ht="15" x14ac:dyDescent="0.25">
      <c r="A423" s="1" t="s">
        <v>5</v>
      </c>
      <c r="B423" s="1" t="s">
        <v>419</v>
      </c>
      <c r="C423" s="1">
        <v>45.8</v>
      </c>
      <c r="D423" s="1">
        <v>64.5</v>
      </c>
      <c r="E423" s="1">
        <v>37.47</v>
      </c>
      <c r="F423" s="5">
        <f t="shared" si="30"/>
        <v>45470.565057870372</v>
      </c>
      <c r="G423" s="3">
        <f t="shared" si="31"/>
        <v>9.9940699854068699E-2</v>
      </c>
      <c r="H423" s="3">
        <f t="shared" si="32"/>
        <v>6.4461751405874304E-2</v>
      </c>
      <c r="I423">
        <f t="shared" si="33"/>
        <v>37.11331148075547</v>
      </c>
      <c r="J423">
        <f t="shared" si="34"/>
        <v>43.793311786609074</v>
      </c>
      <c r="K423">
        <v>1.0536999999999999E-2</v>
      </c>
    </row>
    <row r="424" spans="1:11" ht="15" x14ac:dyDescent="0.25">
      <c r="A424" s="1" t="s">
        <v>5</v>
      </c>
      <c r="B424" s="1" t="s">
        <v>420</v>
      </c>
      <c r="C424" s="1">
        <v>45.8</v>
      </c>
      <c r="D424" s="1">
        <v>64.2</v>
      </c>
      <c r="E424" s="1">
        <v>37.39</v>
      </c>
      <c r="F424" s="5">
        <f t="shared" si="30"/>
        <v>45470.565289351849</v>
      </c>
      <c r="G424" s="3">
        <f t="shared" si="31"/>
        <v>9.9940699854068699E-2</v>
      </c>
      <c r="H424" s="3">
        <f t="shared" si="32"/>
        <v>6.4161929306312107E-2</v>
      </c>
      <c r="I424">
        <f t="shared" si="33"/>
        <v>37.029289644183521</v>
      </c>
      <c r="J424">
        <f t="shared" si="34"/>
        <v>43.589621964345774</v>
      </c>
      <c r="K424">
        <v>1.0617E-2</v>
      </c>
    </row>
    <row r="425" spans="1:11" ht="15" x14ac:dyDescent="0.25">
      <c r="A425" s="1" t="s">
        <v>5</v>
      </c>
      <c r="B425" s="1" t="s">
        <v>421</v>
      </c>
      <c r="C425" s="1">
        <v>45.8</v>
      </c>
      <c r="D425" s="1">
        <v>65</v>
      </c>
      <c r="E425" s="1">
        <v>37.619999999999997</v>
      </c>
      <c r="F425" s="5">
        <f t="shared" si="30"/>
        <v>45470.565520833334</v>
      </c>
      <c r="G425" s="3">
        <f t="shared" si="31"/>
        <v>9.9940699854068699E-2</v>
      </c>
      <c r="H425" s="3">
        <f t="shared" si="32"/>
        <v>6.4961454905144655E-2</v>
      </c>
      <c r="I425">
        <f t="shared" si="33"/>
        <v>37.252588867899838</v>
      </c>
      <c r="J425">
        <f t="shared" si="34"/>
        <v>44.132794823714562</v>
      </c>
      <c r="K425">
        <v>1.0548999999999999E-2</v>
      </c>
    </row>
    <row r="426" spans="1:11" ht="15" x14ac:dyDescent="0.25">
      <c r="A426" s="1" t="s">
        <v>5</v>
      </c>
      <c r="B426" s="1" t="s">
        <v>422</v>
      </c>
      <c r="C426" s="1">
        <v>45.9</v>
      </c>
      <c r="D426" s="1">
        <v>65</v>
      </c>
      <c r="E426" s="1">
        <v>37.71</v>
      </c>
      <c r="F426" s="5">
        <f t="shared" si="30"/>
        <v>45470.565752314818</v>
      </c>
      <c r="G426" s="3">
        <f t="shared" si="31"/>
        <v>0.10045294602303162</v>
      </c>
      <c r="H426" s="3">
        <f t="shared" si="32"/>
        <v>6.5294414914970553E-2</v>
      </c>
      <c r="I426">
        <f t="shared" si="33"/>
        <v>37.344870563010119</v>
      </c>
      <c r="J426">
        <f t="shared" si="34"/>
        <v>44.345094050352671</v>
      </c>
      <c r="K426">
        <v>1.0668E-2</v>
      </c>
    </row>
    <row r="427" spans="1:11" ht="15" x14ac:dyDescent="0.25">
      <c r="A427" s="1" t="s">
        <v>5</v>
      </c>
      <c r="B427" s="1" t="s">
        <v>423</v>
      </c>
      <c r="C427" s="1">
        <v>45.9</v>
      </c>
      <c r="D427" s="1">
        <v>64.5</v>
      </c>
      <c r="E427" s="1">
        <v>37.57</v>
      </c>
      <c r="F427" s="5">
        <f t="shared" si="30"/>
        <v>45470.565983796296</v>
      </c>
      <c r="G427" s="3">
        <f t="shared" si="31"/>
        <v>0.10045294602303162</v>
      </c>
      <c r="H427" s="3">
        <f t="shared" si="32"/>
        <v>6.4792150184855388E-2</v>
      </c>
      <c r="I427">
        <f t="shared" si="33"/>
        <v>37.205505865749437</v>
      </c>
      <c r="J427">
        <f t="shared" si="34"/>
        <v>44.003977942273025</v>
      </c>
      <c r="K427">
        <v>1.0636E-2</v>
      </c>
    </row>
    <row r="428" spans="1:11" ht="15" x14ac:dyDescent="0.25">
      <c r="A428" s="1" t="s">
        <v>5</v>
      </c>
      <c r="B428" s="1" t="s">
        <v>424</v>
      </c>
      <c r="C428" s="1">
        <v>46</v>
      </c>
      <c r="D428" s="1">
        <v>63.6</v>
      </c>
      <c r="E428" s="1">
        <v>37.4</v>
      </c>
      <c r="F428" s="5">
        <f t="shared" si="30"/>
        <v>45470.56621527778</v>
      </c>
      <c r="G428" s="3">
        <f t="shared" si="31"/>
        <v>0.10096744874247462</v>
      </c>
      <c r="H428" s="3">
        <f t="shared" si="32"/>
        <v>6.4215297400213867E-2</v>
      </c>
      <c r="I428">
        <f t="shared" si="33"/>
        <v>37.044270633432852</v>
      </c>
      <c r="J428">
        <f t="shared" si="34"/>
        <v>43.598539796995219</v>
      </c>
      <c r="K428">
        <v>1.0616E-2</v>
      </c>
    </row>
    <row r="429" spans="1:11" ht="15" x14ac:dyDescent="0.25">
      <c r="A429" s="1" t="s">
        <v>5</v>
      </c>
      <c r="B429" s="1" t="s">
        <v>425</v>
      </c>
      <c r="C429" s="1">
        <v>46</v>
      </c>
      <c r="D429" s="1">
        <v>65</v>
      </c>
      <c r="E429" s="1">
        <v>37.799999999999997</v>
      </c>
      <c r="F429" s="5">
        <f t="shared" si="30"/>
        <v>45470.566446759258</v>
      </c>
      <c r="G429" s="3">
        <f t="shared" si="31"/>
        <v>0.10096744874247462</v>
      </c>
      <c r="H429" s="3">
        <f t="shared" si="32"/>
        <v>6.5628841682608505E-2</v>
      </c>
      <c r="I429">
        <f t="shared" si="33"/>
        <v>37.437144105968542</v>
      </c>
      <c r="J429">
        <f t="shared" si="34"/>
        <v>44.558256081834735</v>
      </c>
      <c r="K429">
        <v>1.0407E-2</v>
      </c>
    </row>
    <row r="430" spans="1:11" ht="15" x14ac:dyDescent="0.25">
      <c r="A430" s="1" t="s">
        <v>5</v>
      </c>
      <c r="B430" s="1" t="s">
        <v>426</v>
      </c>
      <c r="C430" s="1">
        <v>46</v>
      </c>
      <c r="D430" s="1">
        <v>64.8</v>
      </c>
      <c r="E430" s="1">
        <v>37.75</v>
      </c>
      <c r="F430" s="5">
        <f t="shared" si="30"/>
        <v>45470.566678240742</v>
      </c>
      <c r="G430" s="3">
        <f t="shared" si="31"/>
        <v>0.10096744874247462</v>
      </c>
      <c r="H430" s="3">
        <f t="shared" si="32"/>
        <v>6.5426906785123556E-2</v>
      </c>
      <c r="I430">
        <f t="shared" si="33"/>
        <v>37.381476614846321</v>
      </c>
      <c r="J430">
        <f t="shared" si="34"/>
        <v>44.421153755429089</v>
      </c>
      <c r="K430">
        <v>1.0324E-2</v>
      </c>
    </row>
    <row r="431" spans="1:11" ht="15" x14ac:dyDescent="0.25">
      <c r="A431" s="1" t="s">
        <v>5</v>
      </c>
      <c r="B431" s="1" t="s">
        <v>427</v>
      </c>
      <c r="C431" s="1">
        <v>46</v>
      </c>
      <c r="D431" s="1">
        <v>64.099999999999994</v>
      </c>
      <c r="E431" s="1">
        <v>37.549999999999997</v>
      </c>
      <c r="F431" s="5">
        <f t="shared" si="30"/>
        <v>45470.56690972222</v>
      </c>
      <c r="G431" s="3">
        <f t="shared" si="31"/>
        <v>0.10096744874247462</v>
      </c>
      <c r="H431" s="3">
        <f t="shared" si="32"/>
        <v>6.472013464392623E-2</v>
      </c>
      <c r="I431">
        <f t="shared" si="33"/>
        <v>37.185445885011156</v>
      </c>
      <c r="J431">
        <f t="shared" si="34"/>
        <v>43.941295613009324</v>
      </c>
      <c r="K431">
        <v>1.0636E-2</v>
      </c>
    </row>
    <row r="432" spans="1:11" ht="15" x14ac:dyDescent="0.25">
      <c r="A432" s="1" t="s">
        <v>5</v>
      </c>
      <c r="B432" s="1" t="s">
        <v>428</v>
      </c>
      <c r="C432" s="1">
        <v>46</v>
      </c>
      <c r="D432" s="1">
        <v>64.8</v>
      </c>
      <c r="E432" s="1">
        <v>37.75</v>
      </c>
      <c r="F432" s="5">
        <f t="shared" si="30"/>
        <v>45470.567141203705</v>
      </c>
      <c r="G432" s="3">
        <f t="shared" si="31"/>
        <v>0.10096744874247462</v>
      </c>
      <c r="H432" s="3">
        <f t="shared" si="32"/>
        <v>6.5426906785123556E-2</v>
      </c>
      <c r="I432">
        <f t="shared" si="33"/>
        <v>37.381476614846321</v>
      </c>
      <c r="J432">
        <f t="shared" si="34"/>
        <v>44.421153755429089</v>
      </c>
      <c r="K432">
        <v>1.0893999999999999E-2</v>
      </c>
    </row>
    <row r="433" spans="1:11" ht="15" x14ac:dyDescent="0.25">
      <c r="A433" s="1" t="s">
        <v>5</v>
      </c>
      <c r="B433" s="1" t="s">
        <v>429</v>
      </c>
      <c r="C433" s="1">
        <v>46</v>
      </c>
      <c r="D433" s="1">
        <v>64.8</v>
      </c>
      <c r="E433" s="1">
        <v>37.75</v>
      </c>
      <c r="F433" s="5">
        <f t="shared" si="30"/>
        <v>45470.567372685182</v>
      </c>
      <c r="G433" s="3">
        <f t="shared" si="31"/>
        <v>0.10096744874247462</v>
      </c>
      <c r="H433" s="3">
        <f t="shared" si="32"/>
        <v>6.5426906785123556E-2</v>
      </c>
      <c r="I433">
        <f t="shared" si="33"/>
        <v>37.381476614846321</v>
      </c>
      <c r="J433">
        <f t="shared" si="34"/>
        <v>44.421153755429089</v>
      </c>
      <c r="K433">
        <v>1.073E-2</v>
      </c>
    </row>
    <row r="434" spans="1:11" ht="15" x14ac:dyDescent="0.25">
      <c r="A434" s="1" t="s">
        <v>5</v>
      </c>
      <c r="B434" s="1" t="s">
        <v>430</v>
      </c>
      <c r="C434" s="1">
        <v>45.9</v>
      </c>
      <c r="D434" s="1">
        <v>64.099999999999994</v>
      </c>
      <c r="E434" s="1">
        <v>37.450000000000003</v>
      </c>
      <c r="F434" s="5">
        <f t="shared" si="30"/>
        <v>45470.567604166667</v>
      </c>
      <c r="G434" s="3">
        <f t="shared" si="31"/>
        <v>0.10045294602303162</v>
      </c>
      <c r="H434" s="3">
        <f t="shared" si="32"/>
        <v>6.4390338400763261E-2</v>
      </c>
      <c r="I434">
        <f t="shared" si="33"/>
        <v>37.093329934272973</v>
      </c>
      <c r="J434">
        <f t="shared" si="34"/>
        <v>43.731085055809316</v>
      </c>
      <c r="K434">
        <v>1.0527E-2</v>
      </c>
    </row>
    <row r="435" spans="1:11" ht="15" x14ac:dyDescent="0.25">
      <c r="A435" s="1" t="s">
        <v>5</v>
      </c>
      <c r="B435" s="1" t="s">
        <v>431</v>
      </c>
      <c r="C435" s="1">
        <v>45.9</v>
      </c>
      <c r="D435" s="1">
        <v>65.099999999999994</v>
      </c>
      <c r="E435" s="1">
        <v>37.74</v>
      </c>
      <c r="F435" s="5">
        <f t="shared" si="30"/>
        <v>45470.567835648151</v>
      </c>
      <c r="G435" s="3">
        <f t="shared" si="31"/>
        <v>0.10045294602303162</v>
      </c>
      <c r="H435" s="3">
        <f t="shared" si="32"/>
        <v>6.5394867860993577E-2</v>
      </c>
      <c r="I435">
        <f t="shared" si="33"/>
        <v>37.372630577357441</v>
      </c>
      <c r="J435">
        <f t="shared" si="34"/>
        <v>44.413317271968587</v>
      </c>
      <c r="K435">
        <v>1.0869E-2</v>
      </c>
    </row>
    <row r="436" spans="1:11" ht="15" x14ac:dyDescent="0.25">
      <c r="A436" s="1" t="s">
        <v>5</v>
      </c>
      <c r="B436" s="1" t="s">
        <v>432</v>
      </c>
      <c r="C436" s="1">
        <v>45.8</v>
      </c>
      <c r="D436" s="1">
        <v>63.8</v>
      </c>
      <c r="E436" s="1">
        <v>37.270000000000003</v>
      </c>
      <c r="F436" s="5">
        <f t="shared" si="30"/>
        <v>45470.568067129629</v>
      </c>
      <c r="G436" s="3">
        <f t="shared" si="31"/>
        <v>9.9940699854068699E-2</v>
      </c>
      <c r="H436" s="3">
        <f t="shared" si="32"/>
        <v>6.3762166506895826E-2</v>
      </c>
      <c r="I436">
        <f t="shared" si="33"/>
        <v>36.916722962138579</v>
      </c>
      <c r="J436">
        <f t="shared" si="34"/>
        <v>43.318035534661369</v>
      </c>
      <c r="K436">
        <v>1.0253999999999999E-2</v>
      </c>
    </row>
    <row r="437" spans="1:11" ht="15" x14ac:dyDescent="0.25">
      <c r="A437" s="1" t="s">
        <v>5</v>
      </c>
      <c r="B437" s="1" t="s">
        <v>433</v>
      </c>
      <c r="C437" s="1">
        <v>45.8</v>
      </c>
      <c r="D437" s="1">
        <v>65</v>
      </c>
      <c r="E437" s="1">
        <v>37.619999999999997</v>
      </c>
      <c r="F437" s="5">
        <f t="shared" si="30"/>
        <v>45470.568298611113</v>
      </c>
      <c r="G437" s="3">
        <f t="shared" si="31"/>
        <v>9.9940699854068699E-2</v>
      </c>
      <c r="H437" s="3">
        <f t="shared" si="32"/>
        <v>6.4961454905144655E-2</v>
      </c>
      <c r="I437">
        <f t="shared" si="33"/>
        <v>37.252588867899838</v>
      </c>
      <c r="J437">
        <f t="shared" si="34"/>
        <v>44.132794823714562</v>
      </c>
      <c r="K437">
        <v>1.0166E-2</v>
      </c>
    </row>
    <row r="438" spans="1:11" ht="15" x14ac:dyDescent="0.25">
      <c r="A438" s="1" t="s">
        <v>5</v>
      </c>
      <c r="B438" s="1" t="s">
        <v>434</v>
      </c>
      <c r="C438" s="1">
        <v>45.8</v>
      </c>
      <c r="D438" s="1">
        <v>66.3</v>
      </c>
      <c r="E438" s="1">
        <v>37.979999999999997</v>
      </c>
      <c r="F438" s="5">
        <f t="shared" si="30"/>
        <v>45470.568530092591</v>
      </c>
      <c r="G438" s="3">
        <f t="shared" si="31"/>
        <v>9.9940699854068699E-2</v>
      </c>
      <c r="H438" s="3">
        <f t="shared" si="32"/>
        <v>6.6260684003247541E-2</v>
      </c>
      <c r="I438">
        <f t="shared" si="33"/>
        <v>37.610358948227329</v>
      </c>
      <c r="J438">
        <f t="shared" si="34"/>
        <v>45.015450720188859</v>
      </c>
      <c r="K438">
        <v>1.0940999999999999E-2</v>
      </c>
    </row>
    <row r="439" spans="1:11" ht="15" x14ac:dyDescent="0.25">
      <c r="A439" s="1" t="s">
        <v>5</v>
      </c>
      <c r="B439" s="1" t="s">
        <v>435</v>
      </c>
      <c r="C439" s="1">
        <v>45.8</v>
      </c>
      <c r="D439" s="1">
        <v>64.8</v>
      </c>
      <c r="E439" s="1">
        <v>37.56</v>
      </c>
      <c r="F439" s="5">
        <f t="shared" si="30"/>
        <v>45470.568761574075</v>
      </c>
      <c r="G439" s="3">
        <f t="shared" si="31"/>
        <v>9.9940699854068699E-2</v>
      </c>
      <c r="H439" s="3">
        <f t="shared" si="32"/>
        <v>6.4761573505436515E-2</v>
      </c>
      <c r="I439">
        <f t="shared" si="33"/>
        <v>37.196991100715621</v>
      </c>
      <c r="J439">
        <f t="shared" si="34"/>
        <v>43.997001608872367</v>
      </c>
      <c r="K439">
        <v>1.0933E-2</v>
      </c>
    </row>
    <row r="440" spans="1:11" ht="15" x14ac:dyDescent="0.25">
      <c r="A440" s="1" t="s">
        <v>5</v>
      </c>
      <c r="B440" s="1" t="s">
        <v>436</v>
      </c>
      <c r="C440" s="1">
        <v>45.8</v>
      </c>
      <c r="D440" s="1">
        <v>60.9</v>
      </c>
      <c r="E440" s="1">
        <v>36.42</v>
      </c>
      <c r="F440" s="5">
        <f t="shared" si="30"/>
        <v>45470.568993055553</v>
      </c>
      <c r="G440" s="3">
        <f t="shared" si="31"/>
        <v>9.9940699854068699E-2</v>
      </c>
      <c r="H440" s="3">
        <f t="shared" si="32"/>
        <v>6.0863886211127836E-2</v>
      </c>
      <c r="I440">
        <f t="shared" si="33"/>
        <v>36.081568382784056</v>
      </c>
      <c r="J440">
        <f t="shared" si="34"/>
        <v>41.349033919449496</v>
      </c>
      <c r="K440">
        <v>1.0255999999999999E-2</v>
      </c>
    </row>
    <row r="441" spans="1:11" ht="15" x14ac:dyDescent="0.25">
      <c r="A441" s="1" t="s">
        <v>5</v>
      </c>
      <c r="B441" s="1" t="s">
        <v>437</v>
      </c>
      <c r="C441" s="1">
        <v>45.8</v>
      </c>
      <c r="D441" s="1">
        <v>63.5</v>
      </c>
      <c r="E441" s="1">
        <v>37.19</v>
      </c>
      <c r="F441" s="5">
        <f t="shared" si="30"/>
        <v>45470.569224537037</v>
      </c>
      <c r="G441" s="3">
        <f t="shared" si="31"/>
        <v>9.9940699854068699E-2</v>
      </c>
      <c r="H441" s="3">
        <f t="shared" si="32"/>
        <v>6.3462344407333629E-2</v>
      </c>
      <c r="I441">
        <f t="shared" si="33"/>
        <v>36.831890795557413</v>
      </c>
      <c r="J441">
        <f t="shared" si="34"/>
        <v>43.114345712398084</v>
      </c>
      <c r="K441">
        <v>1.078E-2</v>
      </c>
    </row>
    <row r="442" spans="1:11" ht="15" x14ac:dyDescent="0.25">
      <c r="A442" s="1" t="s">
        <v>5</v>
      </c>
      <c r="B442" s="1" t="s">
        <v>438</v>
      </c>
      <c r="C442" s="1">
        <v>45.8</v>
      </c>
      <c r="D442" s="1">
        <v>64.5</v>
      </c>
      <c r="E442" s="1">
        <v>37.47</v>
      </c>
      <c r="F442" s="5">
        <f t="shared" si="30"/>
        <v>45470.569456018522</v>
      </c>
      <c r="G442" s="3">
        <f t="shared" si="31"/>
        <v>9.9940699854068699E-2</v>
      </c>
      <c r="H442" s="3">
        <f t="shared" si="32"/>
        <v>6.4461751405874304E-2</v>
      </c>
      <c r="I442">
        <f t="shared" si="33"/>
        <v>37.11331148075547</v>
      </c>
      <c r="J442">
        <f t="shared" si="34"/>
        <v>43.793311786609074</v>
      </c>
      <c r="K442">
        <v>1.0337000000000001E-2</v>
      </c>
    </row>
    <row r="443" spans="1:11" ht="15" x14ac:dyDescent="0.25">
      <c r="A443" s="1" t="s">
        <v>5</v>
      </c>
      <c r="B443" s="1" t="s">
        <v>439</v>
      </c>
      <c r="C443" s="1">
        <v>45.8</v>
      </c>
      <c r="D443" s="1">
        <v>64.5</v>
      </c>
      <c r="E443" s="1">
        <v>37.47</v>
      </c>
      <c r="F443" s="5">
        <f t="shared" si="30"/>
        <v>45470.569687499999</v>
      </c>
      <c r="G443" s="3">
        <f t="shared" si="31"/>
        <v>9.9940699854068699E-2</v>
      </c>
      <c r="H443" s="3">
        <f t="shared" si="32"/>
        <v>6.4461751405874304E-2</v>
      </c>
      <c r="I443">
        <f t="shared" si="33"/>
        <v>37.11331148075547</v>
      </c>
      <c r="J443">
        <f t="shared" si="34"/>
        <v>43.793311786609074</v>
      </c>
      <c r="K443">
        <v>1.0907E-2</v>
      </c>
    </row>
    <row r="444" spans="1:11" ht="15" x14ac:dyDescent="0.25">
      <c r="A444" s="1" t="s">
        <v>5</v>
      </c>
      <c r="B444" s="1" t="s">
        <v>440</v>
      </c>
      <c r="C444" s="1">
        <v>45.8</v>
      </c>
      <c r="D444" s="1">
        <v>64.5</v>
      </c>
      <c r="E444" s="1">
        <v>37.47</v>
      </c>
      <c r="F444" s="5">
        <f t="shared" si="30"/>
        <v>45470.569918981484</v>
      </c>
      <c r="G444" s="3">
        <f t="shared" si="31"/>
        <v>9.9940699854068699E-2</v>
      </c>
      <c r="H444" s="3">
        <f t="shared" si="32"/>
        <v>6.4461751405874304E-2</v>
      </c>
      <c r="I444">
        <f t="shared" si="33"/>
        <v>37.11331148075547</v>
      </c>
      <c r="J444">
        <f t="shared" si="34"/>
        <v>43.793311786609074</v>
      </c>
      <c r="K444">
        <v>1.0499E-2</v>
      </c>
    </row>
    <row r="445" spans="1:11" ht="15" x14ac:dyDescent="0.25">
      <c r="A445" s="1" t="s">
        <v>5</v>
      </c>
      <c r="B445" s="1" t="s">
        <v>441</v>
      </c>
      <c r="C445" s="1">
        <v>45.8</v>
      </c>
      <c r="D445" s="1">
        <v>65.3</v>
      </c>
      <c r="E445" s="1">
        <v>37.700000000000003</v>
      </c>
      <c r="F445" s="5">
        <f t="shared" si="30"/>
        <v>45470.570150462961</v>
      </c>
      <c r="G445" s="3">
        <f t="shared" si="31"/>
        <v>9.9940699854068699E-2</v>
      </c>
      <c r="H445" s="3">
        <f t="shared" si="32"/>
        <v>6.5261277004706852E-2</v>
      </c>
      <c r="I445">
        <f t="shared" si="33"/>
        <v>37.335704733848473</v>
      </c>
      <c r="J445">
        <f t="shared" si="34"/>
        <v>44.336484645977869</v>
      </c>
      <c r="K445">
        <v>1.0704E-2</v>
      </c>
    </row>
    <row r="446" spans="1:11" ht="15" x14ac:dyDescent="0.25">
      <c r="A446" s="1" t="s">
        <v>5</v>
      </c>
      <c r="B446" s="1" t="s">
        <v>442</v>
      </c>
      <c r="C446" s="1">
        <v>45.8</v>
      </c>
      <c r="D446" s="1">
        <v>67.5</v>
      </c>
      <c r="E446" s="1">
        <v>38.31</v>
      </c>
      <c r="F446" s="5">
        <f t="shared" si="30"/>
        <v>45470.570381944446</v>
      </c>
      <c r="G446" s="3">
        <f t="shared" si="31"/>
        <v>9.9940699854068699E-2</v>
      </c>
      <c r="H446" s="3">
        <f t="shared" si="32"/>
        <v>6.7459972401496371E-2</v>
      </c>
      <c r="I446">
        <f t="shared" si="33"/>
        <v>37.935187201173711</v>
      </c>
      <c r="J446">
        <f t="shared" si="34"/>
        <v>45.830210009242052</v>
      </c>
      <c r="K446">
        <v>1.1004E-2</v>
      </c>
    </row>
    <row r="447" spans="1:11" ht="15" x14ac:dyDescent="0.25">
      <c r="A447" s="1" t="s">
        <v>5</v>
      </c>
      <c r="B447" s="1" t="s">
        <v>443</v>
      </c>
      <c r="C447" s="1">
        <v>45.8</v>
      </c>
      <c r="D447" s="1">
        <v>76.599999999999994</v>
      </c>
      <c r="E447" s="1">
        <v>40.67</v>
      </c>
      <c r="F447" s="5">
        <f t="shared" si="30"/>
        <v>45470.570613425924</v>
      </c>
      <c r="G447" s="3">
        <f t="shared" si="31"/>
        <v>9.9940699854068699E-2</v>
      </c>
      <c r="H447" s="3">
        <f t="shared" si="32"/>
        <v>7.6554576088216614E-2</v>
      </c>
      <c r="I447">
        <f t="shared" si="33"/>
        <v>40.245861462853263</v>
      </c>
      <c r="J447">
        <f t="shared" si="34"/>
        <v>52.00880128456209</v>
      </c>
      <c r="K447">
        <v>1.1542999999999999E-2</v>
      </c>
    </row>
    <row r="448" spans="1:11" ht="15" x14ac:dyDescent="0.25">
      <c r="A448" s="1" t="s">
        <v>5</v>
      </c>
      <c r="B448" s="1" t="s">
        <v>444</v>
      </c>
      <c r="C448" s="1">
        <v>45.8</v>
      </c>
      <c r="D448" s="1">
        <v>71.8</v>
      </c>
      <c r="E448" s="1">
        <v>39.46</v>
      </c>
      <c r="F448" s="5">
        <f t="shared" si="30"/>
        <v>45470.570844907408</v>
      </c>
      <c r="G448" s="3">
        <f t="shared" si="31"/>
        <v>9.9940699854068699E-2</v>
      </c>
      <c r="H448" s="3">
        <f t="shared" si="32"/>
        <v>7.1757422495221324E-2</v>
      </c>
      <c r="I448">
        <f t="shared" si="33"/>
        <v>39.059019816696292</v>
      </c>
      <c r="J448">
        <f t="shared" si="34"/>
        <v>48.749764128349319</v>
      </c>
      <c r="K448">
        <v>1.1547E-2</v>
      </c>
    </row>
    <row r="449" spans="1:11" ht="15" x14ac:dyDescent="0.25">
      <c r="A449" s="1" t="s">
        <v>5</v>
      </c>
      <c r="B449" s="1" t="s">
        <v>445</v>
      </c>
      <c r="C449" s="1">
        <v>45.8</v>
      </c>
      <c r="D449" s="1">
        <v>65.400000000000006</v>
      </c>
      <c r="E449" s="1">
        <v>37.729999999999997</v>
      </c>
      <c r="F449" s="5">
        <f t="shared" si="30"/>
        <v>45470.571076388886</v>
      </c>
      <c r="G449" s="3">
        <f t="shared" si="31"/>
        <v>9.9940699854068699E-2</v>
      </c>
      <c r="H449" s="3">
        <f t="shared" si="32"/>
        <v>6.5361217704560937E-2</v>
      </c>
      <c r="I449">
        <f t="shared" si="33"/>
        <v>37.363335579065094</v>
      </c>
      <c r="J449">
        <f t="shared" si="34"/>
        <v>44.404381253398974</v>
      </c>
      <c r="K449">
        <v>1.0998000000000001E-2</v>
      </c>
    </row>
    <row r="450" spans="1:11" ht="15" x14ac:dyDescent="0.25">
      <c r="A450" s="1" t="s">
        <v>5</v>
      </c>
      <c r="B450" s="1" t="s">
        <v>446</v>
      </c>
      <c r="C450" s="1">
        <v>45.8</v>
      </c>
      <c r="D450" s="1">
        <v>76.400000000000006</v>
      </c>
      <c r="E450" s="1">
        <v>40.619999999999997</v>
      </c>
      <c r="F450" s="5">
        <f t="shared" si="30"/>
        <v>45470.57130787037</v>
      </c>
      <c r="G450" s="3">
        <f t="shared" si="31"/>
        <v>9.9940699854068699E-2</v>
      </c>
      <c r="H450" s="3">
        <f t="shared" si="32"/>
        <v>7.6354694688508487E-2</v>
      </c>
      <c r="I450">
        <f t="shared" si="33"/>
        <v>40.197728883636856</v>
      </c>
      <c r="J450">
        <f t="shared" si="34"/>
        <v>51.873008069719894</v>
      </c>
      <c r="K450">
        <v>1.1859E-2</v>
      </c>
    </row>
    <row r="451" spans="1:11" ht="15" x14ac:dyDescent="0.25">
      <c r="A451" s="1" t="s">
        <v>5</v>
      </c>
      <c r="B451" s="1" t="s">
        <v>447</v>
      </c>
      <c r="C451" s="1">
        <v>45.8</v>
      </c>
      <c r="D451" s="1">
        <v>78.099999999999994</v>
      </c>
      <c r="E451" s="1">
        <v>41.03</v>
      </c>
      <c r="F451" s="5">
        <f t="shared" si="30"/>
        <v>45470.571539351855</v>
      </c>
      <c r="G451" s="3">
        <f t="shared" si="31"/>
        <v>9.9940699854068699E-2</v>
      </c>
      <c r="H451" s="3">
        <f t="shared" si="32"/>
        <v>7.8053686586027654E-2</v>
      </c>
      <c r="I451">
        <f t="shared" si="33"/>
        <v>40.60338692984832</v>
      </c>
      <c r="J451">
        <f t="shared" si="34"/>
        <v>53.027250395878575</v>
      </c>
      <c r="K451">
        <v>1.1599999999999999E-2</v>
      </c>
    </row>
    <row r="452" spans="1:11" ht="15" x14ac:dyDescent="0.25">
      <c r="A452" s="1" t="s">
        <v>5</v>
      </c>
      <c r="B452" s="1" t="s">
        <v>448</v>
      </c>
      <c r="C452" s="1">
        <v>45.7</v>
      </c>
      <c r="D452" s="1">
        <v>65.7</v>
      </c>
      <c r="E452" s="1">
        <v>37.72</v>
      </c>
      <c r="F452" s="5">
        <f t="shared" si="30"/>
        <v>45470.571770833332</v>
      </c>
      <c r="G452" s="3">
        <f t="shared" si="31"/>
        <v>9.943070210293746E-2</v>
      </c>
      <c r="H452" s="3">
        <f t="shared" si="32"/>
        <v>6.532597128162991E-2</v>
      </c>
      <c r="I452">
        <f t="shared" si="33"/>
        <v>37.353595149752131</v>
      </c>
      <c r="J452">
        <f t="shared" si="34"/>
        <v>44.394354835679557</v>
      </c>
      <c r="K452">
        <v>1.0943E-2</v>
      </c>
    </row>
    <row r="453" spans="1:11" ht="15" x14ac:dyDescent="0.25">
      <c r="A453" s="1" t="s">
        <v>5</v>
      </c>
      <c r="B453" s="1" t="s">
        <v>449</v>
      </c>
      <c r="C453" s="1">
        <v>45.7</v>
      </c>
      <c r="D453" s="1">
        <v>72.8</v>
      </c>
      <c r="E453" s="1">
        <v>39.619999999999997</v>
      </c>
      <c r="F453" s="5">
        <f t="shared" si="30"/>
        <v>45470.572002314817</v>
      </c>
      <c r="G453" s="3">
        <f t="shared" si="31"/>
        <v>9.943070210293746E-2</v>
      </c>
      <c r="H453" s="3">
        <f t="shared" si="32"/>
        <v>7.2385551130938475E-2</v>
      </c>
      <c r="I453">
        <f t="shared" si="33"/>
        <v>39.21830984009263</v>
      </c>
      <c r="J453">
        <f t="shared" si="34"/>
        <v>49.191918295851941</v>
      </c>
      <c r="K453">
        <v>1.1577E-2</v>
      </c>
    </row>
    <row r="454" spans="1:11" ht="15" x14ac:dyDescent="0.25">
      <c r="A454" s="1" t="s">
        <v>5</v>
      </c>
      <c r="B454" s="1" t="s">
        <v>450</v>
      </c>
      <c r="C454" s="1">
        <v>45.7</v>
      </c>
      <c r="D454" s="1">
        <v>72.099999999999994</v>
      </c>
      <c r="E454" s="1">
        <v>39.44</v>
      </c>
      <c r="F454" s="5">
        <f t="shared" si="30"/>
        <v>45470.572233796294</v>
      </c>
      <c r="G454" s="3">
        <f t="shared" si="31"/>
        <v>9.943070210293746E-2</v>
      </c>
      <c r="H454" s="3">
        <f t="shared" si="32"/>
        <v>7.1689536216217903E-2</v>
      </c>
      <c r="I454">
        <f t="shared" si="33"/>
        <v>39.041731107819814</v>
      </c>
      <c r="J454">
        <f t="shared" si="34"/>
        <v>48.718919081468741</v>
      </c>
      <c r="K454">
        <v>1.0514000000000001E-2</v>
      </c>
    </row>
    <row r="455" spans="1:11" ht="15" x14ac:dyDescent="0.25">
      <c r="A455" s="1" t="s">
        <v>5</v>
      </c>
      <c r="B455" s="1" t="s">
        <v>451</v>
      </c>
      <c r="C455" s="1">
        <v>45.5</v>
      </c>
      <c r="D455" s="1">
        <v>63.5</v>
      </c>
      <c r="E455" s="1">
        <v>36.909999999999997</v>
      </c>
      <c r="F455" s="5">
        <f t="shared" si="30"/>
        <v>45470.572465277779</v>
      </c>
      <c r="G455" s="3">
        <f t="shared" si="31"/>
        <v>9.8417419433236716E-2</v>
      </c>
      <c r="H455" s="3">
        <f t="shared" si="32"/>
        <v>6.2495061340105316E-2</v>
      </c>
      <c r="I455">
        <f t="shared" si="33"/>
        <v>36.555787288193997</v>
      </c>
      <c r="J455">
        <f t="shared" si="34"/>
        <v>42.497175900772696</v>
      </c>
      <c r="K455">
        <v>1.056E-2</v>
      </c>
    </row>
    <row r="456" spans="1:11" ht="15" x14ac:dyDescent="0.25">
      <c r="A456" s="1" t="s">
        <v>5</v>
      </c>
      <c r="B456" s="1" t="s">
        <v>452</v>
      </c>
      <c r="C456" s="1">
        <v>45.5</v>
      </c>
      <c r="D456" s="1">
        <v>72.099999999999994</v>
      </c>
      <c r="E456" s="1">
        <v>39.25</v>
      </c>
      <c r="F456" s="5">
        <f t="shared" si="30"/>
        <v>45470.572696759256</v>
      </c>
      <c r="G456" s="3">
        <f t="shared" si="31"/>
        <v>9.8417419433236716E-2</v>
      </c>
      <c r="H456" s="3">
        <f t="shared" si="32"/>
        <v>7.0958959411363667E-2</v>
      </c>
      <c r="I456">
        <f t="shared" si="33"/>
        <v>38.854759890454758</v>
      </c>
      <c r="J456">
        <f t="shared" si="34"/>
        <v>48.252698936152932</v>
      </c>
      <c r="K456">
        <v>1.1011999999999999E-2</v>
      </c>
    </row>
    <row r="457" spans="1:11" ht="15" x14ac:dyDescent="0.25">
      <c r="A457" s="1" t="s">
        <v>5</v>
      </c>
      <c r="B457" s="1" t="s">
        <v>453</v>
      </c>
      <c r="C457" s="1">
        <v>45.5</v>
      </c>
      <c r="D457" s="1">
        <v>78.599999999999994</v>
      </c>
      <c r="E457" s="1">
        <v>40.869999999999997</v>
      </c>
      <c r="F457" s="5">
        <f t="shared" si="30"/>
        <v>45470.572928240741</v>
      </c>
      <c r="G457" s="3">
        <f t="shared" si="31"/>
        <v>9.8417419433236716E-2</v>
      </c>
      <c r="H457" s="3">
        <f t="shared" si="32"/>
        <v>7.735609167452405E-2</v>
      </c>
      <c r="I457">
        <f t="shared" si="33"/>
        <v>40.437771621798717</v>
      </c>
      <c r="J457">
        <f t="shared" si="34"/>
        <v>52.602803555917063</v>
      </c>
      <c r="K457">
        <v>1.1133000000000001E-2</v>
      </c>
    </row>
    <row r="458" spans="1:11" ht="15" x14ac:dyDescent="0.25">
      <c r="A458" s="1" t="s">
        <v>5</v>
      </c>
      <c r="B458" s="1" t="s">
        <v>454</v>
      </c>
      <c r="C458" s="1">
        <v>45.5</v>
      </c>
      <c r="D458" s="1">
        <v>68.599999999999994</v>
      </c>
      <c r="E458" s="1">
        <v>38.33</v>
      </c>
      <c r="F458" s="5">
        <f t="shared" ref="F458:F521" si="35">A458+B458</f>
        <v>45470.573159722226</v>
      </c>
      <c r="G458" s="3">
        <f t="shared" ref="G458:G521" si="36">$B$2*EXP(($B$3-C458/$B$5)*(C458/($B$4+C458)))</f>
        <v>9.8417419433236716E-2</v>
      </c>
      <c r="H458" s="3">
        <f t="shared" ref="H458:H521" si="37">D458*G458/100</f>
        <v>6.7514349731200379E-2</v>
      </c>
      <c r="I458">
        <f t="shared" ref="I458:I521" si="38">$B$4*LN(H458/$B$2)/($B$3-LN(H458/$B$2))</f>
        <v>37.949794960751667</v>
      </c>
      <c r="J458">
        <f t="shared" ref="J458:J521" si="39">1000*H458*100000/($B$6*(C458+273.15))</f>
        <v>45.910334910126089</v>
      </c>
      <c r="K458">
        <v>1.0983E-2</v>
      </c>
    </row>
    <row r="459" spans="1:11" ht="15" x14ac:dyDescent="0.25">
      <c r="A459" s="1" t="s">
        <v>5</v>
      </c>
      <c r="B459" s="1" t="s">
        <v>455</v>
      </c>
      <c r="C459" s="1">
        <v>45.5</v>
      </c>
      <c r="D459" s="1">
        <v>71.400000000000006</v>
      </c>
      <c r="E459" s="1">
        <v>39.07</v>
      </c>
      <c r="F459" s="5">
        <f t="shared" si="35"/>
        <v>45470.573391203703</v>
      </c>
      <c r="G459" s="3">
        <f t="shared" si="36"/>
        <v>9.8417419433236716E-2</v>
      </c>
      <c r="H459" s="3">
        <f t="shared" si="37"/>
        <v>7.0270037475331018E-2</v>
      </c>
      <c r="I459">
        <f t="shared" si="38"/>
        <v>38.676896499510676</v>
      </c>
      <c r="J459">
        <f t="shared" si="39"/>
        <v>47.784226130947573</v>
      </c>
      <c r="K459">
        <v>1.1195E-2</v>
      </c>
    </row>
    <row r="460" spans="1:11" ht="15" x14ac:dyDescent="0.25">
      <c r="A460" s="1" t="s">
        <v>5</v>
      </c>
      <c r="B460" s="1" t="s">
        <v>456</v>
      </c>
      <c r="C460" s="1">
        <v>45.5</v>
      </c>
      <c r="D460" s="1">
        <v>74.400000000000006</v>
      </c>
      <c r="E460" s="1">
        <v>39.840000000000003</v>
      </c>
      <c r="F460" s="5">
        <f t="shared" si="35"/>
        <v>45470.573622685188</v>
      </c>
      <c r="G460" s="3">
        <f t="shared" si="36"/>
        <v>9.8417419433236716E-2</v>
      </c>
      <c r="H460" s="3">
        <f t="shared" si="37"/>
        <v>7.3222560058328112E-2</v>
      </c>
      <c r="I460">
        <f t="shared" si="38"/>
        <v>39.42869820124109</v>
      </c>
      <c r="J460">
        <f t="shared" si="39"/>
        <v>49.791966724684855</v>
      </c>
      <c r="K460">
        <v>1.1278E-2</v>
      </c>
    </row>
    <row r="461" spans="1:11" ht="15" x14ac:dyDescent="0.25">
      <c r="A461" s="1" t="s">
        <v>5</v>
      </c>
      <c r="B461" s="1" t="s">
        <v>457</v>
      </c>
      <c r="C461" s="1">
        <v>45.5</v>
      </c>
      <c r="D461" s="1">
        <v>66.599999999999994</v>
      </c>
      <c r="E461" s="1">
        <v>37.78</v>
      </c>
      <c r="F461" s="5">
        <f t="shared" si="35"/>
        <v>45470.573854166665</v>
      </c>
      <c r="G461" s="3">
        <f t="shared" si="36"/>
        <v>9.8417419433236716E-2</v>
      </c>
      <c r="H461" s="3">
        <f t="shared" si="37"/>
        <v>6.5546001342535645E-2</v>
      </c>
      <c r="I461">
        <f t="shared" si="38"/>
        <v>37.414325673071247</v>
      </c>
      <c r="J461">
        <f t="shared" si="39"/>
        <v>44.571841180967887</v>
      </c>
      <c r="K461">
        <v>1.0737999999999999E-2</v>
      </c>
    </row>
    <row r="462" spans="1:11" ht="15" x14ac:dyDescent="0.25">
      <c r="A462" s="1" t="s">
        <v>5</v>
      </c>
      <c r="B462" s="1" t="s">
        <v>458</v>
      </c>
      <c r="C462" s="1">
        <v>45.5</v>
      </c>
      <c r="D462" s="1">
        <v>71.8</v>
      </c>
      <c r="E462" s="1">
        <v>39.17</v>
      </c>
      <c r="F462" s="5">
        <f t="shared" si="35"/>
        <v>45470.57408564815</v>
      </c>
      <c r="G462" s="3">
        <f t="shared" si="36"/>
        <v>9.8417419433236716E-2</v>
      </c>
      <c r="H462" s="3">
        <f t="shared" si="37"/>
        <v>7.066370715306397E-2</v>
      </c>
      <c r="I462">
        <f t="shared" si="38"/>
        <v>38.778718940126232</v>
      </c>
      <c r="J462">
        <f t="shared" si="39"/>
        <v>48.051924876779204</v>
      </c>
      <c r="K462">
        <v>1.1032999999999999E-2</v>
      </c>
    </row>
    <row r="463" spans="1:11" ht="15" x14ac:dyDescent="0.25">
      <c r="A463" s="1" t="s">
        <v>5</v>
      </c>
      <c r="B463" s="1" t="s">
        <v>459</v>
      </c>
      <c r="C463" s="1">
        <v>45.6</v>
      </c>
      <c r="D463" s="1">
        <v>75</v>
      </c>
      <c r="E463" s="1">
        <v>40.08</v>
      </c>
      <c r="F463" s="5">
        <f t="shared" si="35"/>
        <v>45470.574317129627</v>
      </c>
      <c r="G463" s="3">
        <f t="shared" si="36"/>
        <v>9.8922944658928133E-2</v>
      </c>
      <c r="H463" s="3">
        <f t="shared" si="37"/>
        <v>7.419220849419611E-2</v>
      </c>
      <c r="I463">
        <f t="shared" si="38"/>
        <v>39.669807029385204</v>
      </c>
      <c r="J463">
        <f t="shared" si="39"/>
        <v>50.435508079244478</v>
      </c>
      <c r="K463">
        <v>1.1258000000000001E-2</v>
      </c>
    </row>
    <row r="464" spans="1:11" ht="15" x14ac:dyDescent="0.25">
      <c r="A464" s="1" t="s">
        <v>5</v>
      </c>
      <c r="B464" s="1" t="s">
        <v>460</v>
      </c>
      <c r="C464" s="1">
        <v>45.5</v>
      </c>
      <c r="D464" s="1">
        <v>63.2</v>
      </c>
      <c r="E464" s="1">
        <v>36.82</v>
      </c>
      <c r="F464" s="5">
        <f t="shared" si="35"/>
        <v>45470.574548611112</v>
      </c>
      <c r="G464" s="3">
        <f t="shared" si="36"/>
        <v>9.8417419433236716E-2</v>
      </c>
      <c r="H464" s="3">
        <f t="shared" si="37"/>
        <v>6.2199809081805606E-2</v>
      </c>
      <c r="I464">
        <f t="shared" si="38"/>
        <v>36.470762584984556</v>
      </c>
      <c r="J464">
        <f t="shared" si="39"/>
        <v>42.296401841398961</v>
      </c>
      <c r="K464">
        <v>1.1129E-2</v>
      </c>
    </row>
    <row r="465" spans="1:11" ht="15" x14ac:dyDescent="0.25">
      <c r="A465" s="1" t="s">
        <v>5</v>
      </c>
      <c r="B465" s="1" t="s">
        <v>461</v>
      </c>
      <c r="C465" s="1">
        <v>45.5</v>
      </c>
      <c r="D465" s="1">
        <v>71.5</v>
      </c>
      <c r="E465" s="1">
        <v>39.090000000000003</v>
      </c>
      <c r="F465" s="5">
        <f t="shared" si="35"/>
        <v>45470.574780092589</v>
      </c>
      <c r="G465" s="3">
        <f t="shared" si="36"/>
        <v>9.8417419433236716E-2</v>
      </c>
      <c r="H465" s="3">
        <f t="shared" si="37"/>
        <v>7.0368454894764246E-2</v>
      </c>
      <c r="I465">
        <f t="shared" si="38"/>
        <v>38.702398909240941</v>
      </c>
      <c r="J465">
        <f t="shared" si="39"/>
        <v>47.851150817405461</v>
      </c>
      <c r="K465">
        <v>1.0888E-2</v>
      </c>
    </row>
    <row r="466" spans="1:11" ht="15" x14ac:dyDescent="0.25">
      <c r="A466" s="1" t="s">
        <v>5</v>
      </c>
      <c r="B466" s="1" t="s">
        <v>462</v>
      </c>
      <c r="C466" s="1">
        <v>45.5</v>
      </c>
      <c r="D466" s="1">
        <v>78.3</v>
      </c>
      <c r="E466" s="1">
        <v>40.79</v>
      </c>
      <c r="F466" s="5">
        <f t="shared" si="35"/>
        <v>45470.575011574074</v>
      </c>
      <c r="G466" s="3">
        <f t="shared" si="36"/>
        <v>9.8417419433236716E-2</v>
      </c>
      <c r="H466" s="3">
        <f t="shared" si="37"/>
        <v>7.7060839416224353E-2</v>
      </c>
      <c r="I466">
        <f t="shared" si="38"/>
        <v>40.367281718857754</v>
      </c>
      <c r="J466">
        <f t="shared" si="39"/>
        <v>52.402029496543335</v>
      </c>
      <c r="K466">
        <v>1.1927E-2</v>
      </c>
    </row>
    <row r="467" spans="1:11" ht="15" x14ac:dyDescent="0.25">
      <c r="A467" s="1" t="s">
        <v>5</v>
      </c>
      <c r="B467" s="1" t="s">
        <v>463</v>
      </c>
      <c r="C467" s="1">
        <v>45.5</v>
      </c>
      <c r="D467" s="1">
        <v>65.900000000000006</v>
      </c>
      <c r="E467" s="1">
        <v>37.590000000000003</v>
      </c>
      <c r="F467" s="5">
        <f t="shared" si="35"/>
        <v>45470.575243055559</v>
      </c>
      <c r="G467" s="3">
        <f t="shared" si="36"/>
        <v>9.8417419433236716E-2</v>
      </c>
      <c r="H467" s="3">
        <f t="shared" si="37"/>
        <v>6.485707940650301E-2</v>
      </c>
      <c r="I467">
        <f t="shared" si="38"/>
        <v>37.223575183535196</v>
      </c>
      <c r="J467">
        <f t="shared" si="39"/>
        <v>44.103368375762528</v>
      </c>
      <c r="K467">
        <v>1.0736000000000001E-2</v>
      </c>
    </row>
    <row r="468" spans="1:11" ht="15" x14ac:dyDescent="0.25">
      <c r="A468" s="1" t="s">
        <v>5</v>
      </c>
      <c r="B468" s="1" t="s">
        <v>464</v>
      </c>
      <c r="C468" s="1">
        <v>45.4</v>
      </c>
      <c r="D468" s="1">
        <v>70.5</v>
      </c>
      <c r="E468" s="1">
        <v>38.74</v>
      </c>
      <c r="F468" s="5">
        <f t="shared" si="35"/>
        <v>45470.575474537036</v>
      </c>
      <c r="G468" s="3">
        <f t="shared" si="36"/>
        <v>9.7914118358931823E-2</v>
      </c>
      <c r="H468" s="3">
        <f t="shared" si="37"/>
        <v>6.9029453443046937E-2</v>
      </c>
      <c r="I468">
        <f t="shared" si="38"/>
        <v>38.352715258601322</v>
      </c>
      <c r="J468">
        <f t="shared" si="39"/>
        <v>46.955354099296386</v>
      </c>
      <c r="K468">
        <v>1.0821000000000001E-2</v>
      </c>
    </row>
    <row r="469" spans="1:11" ht="15" x14ac:dyDescent="0.25">
      <c r="A469" s="1" t="s">
        <v>5</v>
      </c>
      <c r="B469" s="1" t="s">
        <v>465</v>
      </c>
      <c r="C469" s="1">
        <v>45.4</v>
      </c>
      <c r="D469" s="1">
        <v>81.599999999999994</v>
      </c>
      <c r="E469" s="1">
        <v>41.48</v>
      </c>
      <c r="F469" s="5">
        <f t="shared" si="35"/>
        <v>45470.575706018521</v>
      </c>
      <c r="G469" s="3">
        <f t="shared" si="36"/>
        <v>9.7914118358931823E-2</v>
      </c>
      <c r="H469" s="3">
        <f t="shared" si="37"/>
        <v>7.9897920580888362E-2</v>
      </c>
      <c r="I469">
        <f t="shared" si="38"/>
        <v>41.035060178223709</v>
      </c>
      <c r="J469">
        <f t="shared" si="39"/>
        <v>54.34832474471753</v>
      </c>
      <c r="K469">
        <v>1.1972E-2</v>
      </c>
    </row>
    <row r="470" spans="1:11" ht="15" x14ac:dyDescent="0.25">
      <c r="A470" s="1" t="s">
        <v>5</v>
      </c>
      <c r="B470" s="1" t="s">
        <v>466</v>
      </c>
      <c r="C470" s="1">
        <v>45.3</v>
      </c>
      <c r="D470" s="1">
        <v>73.400000000000006</v>
      </c>
      <c r="E470" s="1">
        <v>39.39</v>
      </c>
      <c r="F470" s="5">
        <f t="shared" si="35"/>
        <v>45470.575937499998</v>
      </c>
      <c r="G470" s="3">
        <f t="shared" si="36"/>
        <v>9.7413033390920806E-2</v>
      </c>
      <c r="H470" s="3">
        <f t="shared" si="37"/>
        <v>7.1501166508935871E-2</v>
      </c>
      <c r="I470">
        <f t="shared" si="38"/>
        <v>38.993683413295557</v>
      </c>
      <c r="J470">
        <f t="shared" si="39"/>
        <v>48.651940685022353</v>
      </c>
      <c r="K470">
        <v>1.1679E-2</v>
      </c>
    </row>
    <row r="471" spans="1:11" ht="15" x14ac:dyDescent="0.25">
      <c r="A471" s="1" t="s">
        <v>5</v>
      </c>
      <c r="B471" s="1" t="s">
        <v>467</v>
      </c>
      <c r="C471" s="1">
        <v>45.3</v>
      </c>
      <c r="D471" s="1">
        <v>69.400000000000006</v>
      </c>
      <c r="E471" s="1">
        <v>38.35</v>
      </c>
      <c r="F471" s="5">
        <f t="shared" si="35"/>
        <v>45470.576168981483</v>
      </c>
      <c r="G471" s="3">
        <f t="shared" si="36"/>
        <v>9.7413033390920806E-2</v>
      </c>
      <c r="H471" s="3">
        <f t="shared" si="37"/>
        <v>6.7604645173299047E-2</v>
      </c>
      <c r="I471">
        <f t="shared" si="38"/>
        <v>37.974028872280996</v>
      </c>
      <c r="J471">
        <f t="shared" si="39"/>
        <v>46.000608767582456</v>
      </c>
      <c r="K471">
        <v>1.1205E-2</v>
      </c>
    </row>
    <row r="472" spans="1:11" ht="15" x14ac:dyDescent="0.25">
      <c r="A472" s="1" t="s">
        <v>5</v>
      </c>
      <c r="B472" s="1" t="s">
        <v>468</v>
      </c>
      <c r="C472" s="1">
        <v>45.3</v>
      </c>
      <c r="D472" s="1">
        <v>75.099999999999994</v>
      </c>
      <c r="E472" s="1">
        <v>39.82</v>
      </c>
      <c r="F472" s="5">
        <f t="shared" si="35"/>
        <v>45470.57640046296</v>
      </c>
      <c r="G472" s="3">
        <f t="shared" si="36"/>
        <v>9.7413033390920806E-2</v>
      </c>
      <c r="H472" s="3">
        <f t="shared" si="37"/>
        <v>7.3157188076581517E-2</v>
      </c>
      <c r="I472">
        <f t="shared" si="38"/>
        <v>39.412342568918973</v>
      </c>
      <c r="J472">
        <f t="shared" si="39"/>
        <v>49.77875674993431</v>
      </c>
      <c r="K472">
        <v>1.1205E-2</v>
      </c>
    </row>
    <row r="473" spans="1:11" ht="15" x14ac:dyDescent="0.25">
      <c r="A473" s="1" t="s">
        <v>5</v>
      </c>
      <c r="B473" s="1" t="s">
        <v>469</v>
      </c>
      <c r="C473" s="1">
        <v>45.3</v>
      </c>
      <c r="D473" s="1">
        <v>75.7</v>
      </c>
      <c r="E473" s="1">
        <v>39.97</v>
      </c>
      <c r="F473" s="5">
        <f t="shared" si="35"/>
        <v>45470.576631944445</v>
      </c>
      <c r="G473" s="3">
        <f t="shared" si="36"/>
        <v>9.7413033390920806E-2</v>
      </c>
      <c r="H473" s="3">
        <f t="shared" si="37"/>
        <v>7.3741666276927062E-2</v>
      </c>
      <c r="I473">
        <f t="shared" si="38"/>
        <v>39.558122702236972</v>
      </c>
      <c r="J473">
        <f t="shared" si="39"/>
        <v>50.176456537550308</v>
      </c>
      <c r="K473">
        <v>1.1417999999999999E-2</v>
      </c>
    </row>
    <row r="474" spans="1:11" ht="15" x14ac:dyDescent="0.25">
      <c r="A474" s="1" t="s">
        <v>5</v>
      </c>
      <c r="B474" s="1" t="s">
        <v>470</v>
      </c>
      <c r="C474" s="1">
        <v>45.3</v>
      </c>
      <c r="D474" s="1">
        <v>72.8</v>
      </c>
      <c r="E474" s="1">
        <v>39.24</v>
      </c>
      <c r="F474" s="5">
        <f t="shared" si="35"/>
        <v>45470.576863425929</v>
      </c>
      <c r="G474" s="3">
        <f t="shared" si="36"/>
        <v>9.7413033390920806E-2</v>
      </c>
      <c r="H474" s="3">
        <f t="shared" si="37"/>
        <v>7.0916688308590339E-2</v>
      </c>
      <c r="I474">
        <f t="shared" si="38"/>
        <v>38.84389018401756</v>
      </c>
      <c r="J474">
        <f t="shared" si="39"/>
        <v>48.254240897406362</v>
      </c>
      <c r="K474">
        <v>1.1429999999999999E-2</v>
      </c>
    </row>
    <row r="475" spans="1:11" ht="15" x14ac:dyDescent="0.25">
      <c r="A475" s="1" t="s">
        <v>5</v>
      </c>
      <c r="B475" s="1" t="s">
        <v>471</v>
      </c>
      <c r="C475" s="1">
        <v>45.4</v>
      </c>
      <c r="D475" s="1">
        <v>76.400000000000006</v>
      </c>
      <c r="E475" s="1">
        <v>40.24</v>
      </c>
      <c r="F475" s="5">
        <f t="shared" si="35"/>
        <v>45470.577094907407</v>
      </c>
      <c r="G475" s="3">
        <f t="shared" si="36"/>
        <v>9.7914118358931823E-2</v>
      </c>
      <c r="H475" s="3">
        <f t="shared" si="37"/>
        <v>7.480638642622392E-2</v>
      </c>
      <c r="I475">
        <f t="shared" si="38"/>
        <v>39.821101233548646</v>
      </c>
      <c r="J475">
        <f t="shared" si="39"/>
        <v>50.884951109024747</v>
      </c>
      <c r="K475">
        <v>1.1623E-2</v>
      </c>
    </row>
    <row r="476" spans="1:11" ht="15" x14ac:dyDescent="0.25">
      <c r="A476" s="1" t="s">
        <v>5</v>
      </c>
      <c r="B476" s="1" t="s">
        <v>472</v>
      </c>
      <c r="C476" s="1">
        <v>45.5</v>
      </c>
      <c r="D476" s="1">
        <v>78.400000000000006</v>
      </c>
      <c r="E476" s="1">
        <v>40.82</v>
      </c>
      <c r="F476" s="5">
        <f t="shared" si="35"/>
        <v>45470.577326388891</v>
      </c>
      <c r="G476" s="3">
        <f t="shared" si="36"/>
        <v>9.8417419433236716E-2</v>
      </c>
      <c r="H476" s="3">
        <f t="shared" si="37"/>
        <v>7.7159256835657594E-2</v>
      </c>
      <c r="I476">
        <f t="shared" si="38"/>
        <v>40.390804603789164</v>
      </c>
      <c r="J476">
        <f t="shared" si="39"/>
        <v>52.468954183001259</v>
      </c>
      <c r="K476">
        <v>1.1783E-2</v>
      </c>
    </row>
    <row r="477" spans="1:11" ht="15" x14ac:dyDescent="0.25">
      <c r="A477" s="1" t="s">
        <v>5</v>
      </c>
      <c r="B477" s="1" t="s">
        <v>473</v>
      </c>
      <c r="C477" s="1">
        <v>45.5</v>
      </c>
      <c r="D477" s="1">
        <v>78.400000000000006</v>
      </c>
      <c r="E477" s="1">
        <v>40.82</v>
      </c>
      <c r="F477" s="5">
        <f t="shared" si="35"/>
        <v>45470.577557870369</v>
      </c>
      <c r="G477" s="3">
        <f t="shared" si="36"/>
        <v>9.8417419433236716E-2</v>
      </c>
      <c r="H477" s="3">
        <f t="shared" si="37"/>
        <v>7.7159256835657594E-2</v>
      </c>
      <c r="I477">
        <f t="shared" si="38"/>
        <v>40.390804603789164</v>
      </c>
      <c r="J477">
        <f t="shared" si="39"/>
        <v>52.468954183001259</v>
      </c>
      <c r="K477">
        <v>1.1872000000000001E-2</v>
      </c>
    </row>
    <row r="478" spans="1:11" ht="15" x14ac:dyDescent="0.25">
      <c r="A478" s="1" t="s">
        <v>5</v>
      </c>
      <c r="B478" s="1" t="s">
        <v>474</v>
      </c>
      <c r="C478" s="1">
        <v>45.6</v>
      </c>
      <c r="D478" s="1">
        <v>75.7</v>
      </c>
      <c r="E478" s="1">
        <v>40.26</v>
      </c>
      <c r="F478" s="5">
        <f t="shared" si="35"/>
        <v>45470.577789351853</v>
      </c>
      <c r="G478" s="3">
        <f t="shared" si="36"/>
        <v>9.8922944658928133E-2</v>
      </c>
      <c r="H478" s="3">
        <f t="shared" si="37"/>
        <v>7.4884669106808605E-2</v>
      </c>
      <c r="I478">
        <f t="shared" si="38"/>
        <v>39.840306798148987</v>
      </c>
      <c r="J478">
        <f t="shared" si="39"/>
        <v>50.906239487984095</v>
      </c>
      <c r="K478">
        <v>1.1820000000000001E-2</v>
      </c>
    </row>
    <row r="479" spans="1:11" ht="15" x14ac:dyDescent="0.25">
      <c r="A479" s="1" t="s">
        <v>5</v>
      </c>
      <c r="B479" s="1" t="s">
        <v>475</v>
      </c>
      <c r="C479" s="1">
        <v>45.7</v>
      </c>
      <c r="D479" s="1">
        <v>76.400000000000006</v>
      </c>
      <c r="E479" s="1">
        <v>40.520000000000003</v>
      </c>
      <c r="F479" s="5">
        <f t="shared" si="35"/>
        <v>45470.578020833331</v>
      </c>
      <c r="G479" s="3">
        <f t="shared" si="36"/>
        <v>9.943070210293746E-2</v>
      </c>
      <c r="H479" s="3">
        <f t="shared" si="37"/>
        <v>7.5965056406644221E-2</v>
      </c>
      <c r="I479">
        <f t="shared" si="38"/>
        <v>40.103583541310492</v>
      </c>
      <c r="J479">
        <f t="shared" si="39"/>
        <v>51.624485684108343</v>
      </c>
      <c r="K479">
        <v>1.193E-2</v>
      </c>
    </row>
    <row r="480" spans="1:11" ht="15" x14ac:dyDescent="0.25">
      <c r="A480" s="1" t="s">
        <v>5</v>
      </c>
      <c r="B480" s="1" t="s">
        <v>476</v>
      </c>
      <c r="C480" s="1">
        <v>45.7</v>
      </c>
      <c r="D480" s="1">
        <v>77.599999999999994</v>
      </c>
      <c r="E480" s="1">
        <v>40.82</v>
      </c>
      <c r="F480" s="5">
        <f t="shared" si="35"/>
        <v>45470.578252314815</v>
      </c>
      <c r="G480" s="3">
        <f t="shared" si="36"/>
        <v>9.943070210293746E-2</v>
      </c>
      <c r="H480" s="3">
        <f t="shared" si="37"/>
        <v>7.7158224831879466E-2</v>
      </c>
      <c r="I480">
        <f t="shared" si="38"/>
        <v>40.390558079532212</v>
      </c>
      <c r="J480">
        <f t="shared" si="39"/>
        <v>52.435341480193813</v>
      </c>
      <c r="K480">
        <v>1.1886000000000001E-2</v>
      </c>
    </row>
    <row r="481" spans="1:11" ht="15" x14ac:dyDescent="0.25">
      <c r="A481" s="1" t="s">
        <v>5</v>
      </c>
      <c r="B481" s="1" t="s">
        <v>477</v>
      </c>
      <c r="C481" s="1">
        <v>45.7</v>
      </c>
      <c r="D481" s="1">
        <v>75.900000000000006</v>
      </c>
      <c r="E481" s="1">
        <v>40.4</v>
      </c>
      <c r="F481" s="5">
        <f t="shared" si="35"/>
        <v>45470.578483796293</v>
      </c>
      <c r="G481" s="3">
        <f t="shared" si="36"/>
        <v>9.943070210293746E-2</v>
      </c>
      <c r="H481" s="3">
        <f t="shared" si="37"/>
        <v>7.5467902896129535E-2</v>
      </c>
      <c r="I481">
        <f t="shared" si="38"/>
        <v>39.982843817542303</v>
      </c>
      <c r="J481">
        <f t="shared" si="39"/>
        <v>51.28662910240606</v>
      </c>
      <c r="K481">
        <v>1.2024999999999999E-2</v>
      </c>
    </row>
    <row r="482" spans="1:11" ht="15" x14ac:dyDescent="0.25">
      <c r="A482" s="1" t="s">
        <v>5</v>
      </c>
      <c r="B482" s="1" t="s">
        <v>478</v>
      </c>
      <c r="C482" s="1">
        <v>45.7</v>
      </c>
      <c r="D482" s="1">
        <v>74.400000000000006</v>
      </c>
      <c r="E482" s="1">
        <v>40.03</v>
      </c>
      <c r="F482" s="5">
        <f t="shared" si="35"/>
        <v>45470.578715277778</v>
      </c>
      <c r="G482" s="3">
        <f t="shared" si="36"/>
        <v>9.943070210293746E-2</v>
      </c>
      <c r="H482" s="3">
        <f t="shared" si="37"/>
        <v>7.3976442364585476E-2</v>
      </c>
      <c r="I482">
        <f t="shared" si="38"/>
        <v>39.616395431501651</v>
      </c>
      <c r="J482">
        <f t="shared" si="39"/>
        <v>50.273059357299239</v>
      </c>
      <c r="K482">
        <v>1.1903E-2</v>
      </c>
    </row>
    <row r="483" spans="1:11" ht="15" x14ac:dyDescent="0.25">
      <c r="A483" s="1" t="s">
        <v>5</v>
      </c>
      <c r="B483" s="1" t="s">
        <v>479</v>
      </c>
      <c r="C483" s="1">
        <v>45.8</v>
      </c>
      <c r="D483" s="1">
        <v>74.400000000000006</v>
      </c>
      <c r="E483" s="1">
        <v>40.119999999999997</v>
      </c>
      <c r="F483" s="5">
        <f t="shared" si="35"/>
        <v>45470.578946759262</v>
      </c>
      <c r="G483" s="3">
        <f t="shared" si="36"/>
        <v>9.9940699854068699E-2</v>
      </c>
      <c r="H483" s="3">
        <f t="shared" si="37"/>
        <v>7.4355880691427123E-2</v>
      </c>
      <c r="I483">
        <f t="shared" si="38"/>
        <v>39.7102323658712</v>
      </c>
      <c r="J483">
        <f t="shared" si="39"/>
        <v>50.515075921297907</v>
      </c>
      <c r="K483">
        <v>1.1733E-2</v>
      </c>
    </row>
    <row r="484" spans="1:11" ht="15" x14ac:dyDescent="0.25">
      <c r="A484" s="1" t="s">
        <v>5</v>
      </c>
      <c r="B484" s="1" t="s">
        <v>480</v>
      </c>
      <c r="C484" s="1">
        <v>45.8</v>
      </c>
      <c r="D484" s="1">
        <v>75.599999999999994</v>
      </c>
      <c r="E484" s="1">
        <v>40.42</v>
      </c>
      <c r="F484" s="5">
        <f t="shared" si="35"/>
        <v>45470.57917824074</v>
      </c>
      <c r="G484" s="3">
        <f t="shared" si="36"/>
        <v>9.9940699854068699E-2</v>
      </c>
      <c r="H484" s="3">
        <f t="shared" si="37"/>
        <v>7.5555169089675925E-2</v>
      </c>
      <c r="I484">
        <f t="shared" si="38"/>
        <v>40.004087798476768</v>
      </c>
      <c r="J484">
        <f t="shared" si="39"/>
        <v>51.329835210351092</v>
      </c>
      <c r="K484">
        <v>1.1956E-2</v>
      </c>
    </row>
    <row r="485" spans="1:11" ht="15" x14ac:dyDescent="0.25">
      <c r="A485" s="1" t="s">
        <v>5</v>
      </c>
      <c r="B485" s="1" t="s">
        <v>481</v>
      </c>
      <c r="C485" s="1">
        <v>45.8</v>
      </c>
      <c r="D485" s="1">
        <v>75.599999999999994</v>
      </c>
      <c r="E485" s="1">
        <v>40.42</v>
      </c>
      <c r="F485" s="5">
        <f t="shared" si="35"/>
        <v>45470.579409722224</v>
      </c>
      <c r="G485" s="3">
        <f t="shared" si="36"/>
        <v>9.9940699854068699E-2</v>
      </c>
      <c r="H485" s="3">
        <f t="shared" si="37"/>
        <v>7.5555169089675925E-2</v>
      </c>
      <c r="I485">
        <f t="shared" si="38"/>
        <v>40.004087798476768</v>
      </c>
      <c r="J485">
        <f t="shared" si="39"/>
        <v>51.329835210351092</v>
      </c>
      <c r="K485">
        <v>1.2102E-2</v>
      </c>
    </row>
    <row r="486" spans="1:11" ht="15" x14ac:dyDescent="0.25">
      <c r="A486" s="1" t="s">
        <v>5</v>
      </c>
      <c r="B486" s="1" t="s">
        <v>482</v>
      </c>
      <c r="C486" s="1">
        <v>45.8</v>
      </c>
      <c r="D486" s="1">
        <v>77</v>
      </c>
      <c r="E486" s="1">
        <v>40.770000000000003</v>
      </c>
      <c r="F486" s="5">
        <f t="shared" si="35"/>
        <v>45470.579641203702</v>
      </c>
      <c r="G486" s="3">
        <f t="shared" si="36"/>
        <v>9.9940699854068699E-2</v>
      </c>
      <c r="H486" s="3">
        <f t="shared" si="37"/>
        <v>7.6954338887632895E-2</v>
      </c>
      <c r="I486">
        <f t="shared" si="38"/>
        <v>40.341797208659699</v>
      </c>
      <c r="J486">
        <f t="shared" si="39"/>
        <v>52.280387714246487</v>
      </c>
      <c r="K486">
        <v>1.209E-2</v>
      </c>
    </row>
    <row r="487" spans="1:11" ht="15" x14ac:dyDescent="0.25">
      <c r="A487" s="1" t="s">
        <v>5</v>
      </c>
      <c r="B487" s="1" t="s">
        <v>483</v>
      </c>
      <c r="C487" s="1">
        <v>45.8</v>
      </c>
      <c r="D487" s="1">
        <v>75</v>
      </c>
      <c r="E487" s="1">
        <v>40.270000000000003</v>
      </c>
      <c r="F487" s="5">
        <f t="shared" si="35"/>
        <v>45470.579872685186</v>
      </c>
      <c r="G487" s="3">
        <f t="shared" si="36"/>
        <v>9.9940699854068699E-2</v>
      </c>
      <c r="H487" s="3">
        <f t="shared" si="37"/>
        <v>7.4955524890551531E-2</v>
      </c>
      <c r="I487">
        <f t="shared" si="38"/>
        <v>39.857675113592649</v>
      </c>
      <c r="J487">
        <f t="shared" si="39"/>
        <v>50.922455565824507</v>
      </c>
      <c r="K487">
        <v>1.2092E-2</v>
      </c>
    </row>
    <row r="488" spans="1:11" ht="15" x14ac:dyDescent="0.25">
      <c r="A488" s="1" t="s">
        <v>5</v>
      </c>
      <c r="B488" s="1" t="s">
        <v>484</v>
      </c>
      <c r="C488" s="1">
        <v>45.8</v>
      </c>
      <c r="D488" s="1">
        <v>74.599999999999994</v>
      </c>
      <c r="E488" s="1">
        <v>40.17</v>
      </c>
      <c r="F488" s="5">
        <f t="shared" si="35"/>
        <v>45470.580104166664</v>
      </c>
      <c r="G488" s="3">
        <f t="shared" si="36"/>
        <v>9.9940699854068699E-2</v>
      </c>
      <c r="H488" s="3">
        <f t="shared" si="37"/>
        <v>7.455576209113525E-2</v>
      </c>
      <c r="I488">
        <f t="shared" si="38"/>
        <v>39.759495362461365</v>
      </c>
      <c r="J488">
        <f t="shared" si="39"/>
        <v>50.650869136140109</v>
      </c>
      <c r="K488">
        <v>1.1705E-2</v>
      </c>
    </row>
    <row r="489" spans="1:11" ht="15" x14ac:dyDescent="0.25">
      <c r="A489" s="1" t="s">
        <v>5</v>
      </c>
      <c r="B489" s="1" t="s">
        <v>485</v>
      </c>
      <c r="C489" s="1">
        <v>45.9</v>
      </c>
      <c r="D489" s="1">
        <v>75.3</v>
      </c>
      <c r="E489" s="1">
        <v>40.44</v>
      </c>
      <c r="F489" s="5">
        <f t="shared" si="35"/>
        <v>45470.580335648148</v>
      </c>
      <c r="G489" s="3">
        <f t="shared" si="36"/>
        <v>0.10045294602303162</v>
      </c>
      <c r="H489" s="3">
        <f t="shared" si="37"/>
        <v>7.5641068355342803E-2</v>
      </c>
      <c r="I489">
        <f t="shared" si="38"/>
        <v>40.024978028291002</v>
      </c>
      <c r="J489">
        <f t="shared" si="39"/>
        <v>51.372085876793157</v>
      </c>
      <c r="K489">
        <v>1.1795E-2</v>
      </c>
    </row>
    <row r="490" spans="1:11" ht="15" x14ac:dyDescent="0.25">
      <c r="A490" s="1" t="s">
        <v>5</v>
      </c>
      <c r="B490" s="1" t="s">
        <v>486</v>
      </c>
      <c r="C490" s="1">
        <v>45.9</v>
      </c>
      <c r="D490" s="1">
        <v>75.3</v>
      </c>
      <c r="E490" s="1">
        <v>40.44</v>
      </c>
      <c r="F490" s="5">
        <f t="shared" si="35"/>
        <v>45470.580567129633</v>
      </c>
      <c r="G490" s="3">
        <f t="shared" si="36"/>
        <v>0.10045294602303162</v>
      </c>
      <c r="H490" s="3">
        <f t="shared" si="37"/>
        <v>7.5641068355342803E-2</v>
      </c>
      <c r="I490">
        <f t="shared" si="38"/>
        <v>40.024978028291002</v>
      </c>
      <c r="J490">
        <f t="shared" si="39"/>
        <v>51.372085876793157</v>
      </c>
      <c r="K490">
        <v>1.1967999999999999E-2</v>
      </c>
    </row>
    <row r="491" spans="1:11" ht="15" x14ac:dyDescent="0.25">
      <c r="A491" s="1" t="s">
        <v>5</v>
      </c>
      <c r="B491" s="1" t="s">
        <v>487</v>
      </c>
      <c r="C491" s="1">
        <v>45.9</v>
      </c>
      <c r="D491" s="1">
        <v>75.7</v>
      </c>
      <c r="E491" s="1">
        <v>40.54</v>
      </c>
      <c r="F491" s="5">
        <f t="shared" si="35"/>
        <v>45470.58079861111</v>
      </c>
      <c r="G491" s="3">
        <f t="shared" si="36"/>
        <v>0.10045294602303162</v>
      </c>
      <c r="H491" s="3">
        <f t="shared" si="37"/>
        <v>7.6042880139434943E-2</v>
      </c>
      <c r="I491">
        <f t="shared" si="38"/>
        <v>40.122421260403989</v>
      </c>
      <c r="J491">
        <f t="shared" si="39"/>
        <v>51.64497876325688</v>
      </c>
      <c r="K491">
        <v>1.2038E-2</v>
      </c>
    </row>
    <row r="492" spans="1:11" ht="15" x14ac:dyDescent="0.25">
      <c r="A492" s="1" t="s">
        <v>5</v>
      </c>
      <c r="B492" s="1" t="s">
        <v>488</v>
      </c>
      <c r="C492" s="1">
        <v>46</v>
      </c>
      <c r="D492" s="1">
        <v>75.3</v>
      </c>
      <c r="E492" s="1">
        <v>40.54</v>
      </c>
      <c r="F492" s="5">
        <f t="shared" si="35"/>
        <v>45470.581030092595</v>
      </c>
      <c r="G492" s="3">
        <f t="shared" si="36"/>
        <v>0.10096744874247462</v>
      </c>
      <c r="H492" s="3">
        <f t="shared" si="37"/>
        <v>7.6028488903083391E-2</v>
      </c>
      <c r="I492">
        <f t="shared" si="38"/>
        <v>40.118939045494592</v>
      </c>
      <c r="J492">
        <f t="shared" si="39"/>
        <v>51.619025891725464</v>
      </c>
      <c r="K492">
        <v>1.1878E-2</v>
      </c>
    </row>
    <row r="493" spans="1:11" ht="15" x14ac:dyDescent="0.25">
      <c r="A493" s="1" t="s">
        <v>5</v>
      </c>
      <c r="B493" s="1" t="s">
        <v>489</v>
      </c>
      <c r="C493" s="1">
        <v>46</v>
      </c>
      <c r="D493" s="1">
        <v>73.5</v>
      </c>
      <c r="E493" s="1">
        <v>40.090000000000003</v>
      </c>
      <c r="F493" s="5">
        <f t="shared" si="35"/>
        <v>45470.581261574072</v>
      </c>
      <c r="G493" s="3">
        <f t="shared" si="36"/>
        <v>0.10096744874247462</v>
      </c>
      <c r="H493" s="3">
        <f t="shared" si="37"/>
        <v>7.4211074825718842E-2</v>
      </c>
      <c r="I493">
        <f t="shared" si="38"/>
        <v>39.674470800804961</v>
      </c>
      <c r="J493">
        <f t="shared" si="39"/>
        <v>50.385104954074656</v>
      </c>
      <c r="K493">
        <v>1.1828999999999999E-2</v>
      </c>
    </row>
    <row r="494" spans="1:11" ht="15" x14ac:dyDescent="0.25">
      <c r="A494" s="1" t="s">
        <v>5</v>
      </c>
      <c r="B494" s="1" t="s">
        <v>490</v>
      </c>
      <c r="C494" s="1">
        <v>46</v>
      </c>
      <c r="D494" s="1">
        <v>73.8</v>
      </c>
      <c r="E494" s="1">
        <v>40.159999999999997</v>
      </c>
      <c r="F494" s="5">
        <f t="shared" si="35"/>
        <v>45470.581493055557</v>
      </c>
      <c r="G494" s="3">
        <f t="shared" si="36"/>
        <v>0.10096744874247462</v>
      </c>
      <c r="H494" s="3">
        <f t="shared" si="37"/>
        <v>7.4513977171946272E-2</v>
      </c>
      <c r="I494">
        <f t="shared" si="38"/>
        <v>39.749206581071768</v>
      </c>
      <c r="J494">
        <f t="shared" si="39"/>
        <v>50.590758443683129</v>
      </c>
      <c r="K494">
        <v>1.1826E-2</v>
      </c>
    </row>
    <row r="495" spans="1:11" ht="15" x14ac:dyDescent="0.25">
      <c r="A495" s="1" t="s">
        <v>5</v>
      </c>
      <c r="B495" s="1" t="s">
        <v>491</v>
      </c>
      <c r="C495" s="1">
        <v>46</v>
      </c>
      <c r="D495" s="1">
        <v>74.400000000000006</v>
      </c>
      <c r="E495" s="1">
        <v>40.31</v>
      </c>
      <c r="F495" s="5">
        <f t="shared" si="35"/>
        <v>45470.581724537034</v>
      </c>
      <c r="G495" s="3">
        <f t="shared" si="36"/>
        <v>0.10096744874247462</v>
      </c>
      <c r="H495" s="3">
        <f t="shared" si="37"/>
        <v>7.5119781864401117E-2</v>
      </c>
      <c r="I495">
        <f t="shared" si="38"/>
        <v>39.897882850231667</v>
      </c>
      <c r="J495">
        <f t="shared" si="39"/>
        <v>51.002065422900067</v>
      </c>
      <c r="K495">
        <v>1.1813000000000001E-2</v>
      </c>
    </row>
    <row r="496" spans="1:11" ht="15" x14ac:dyDescent="0.25">
      <c r="A496" s="1" t="s">
        <v>5</v>
      </c>
      <c r="B496" s="1" t="s">
        <v>492</v>
      </c>
      <c r="C496" s="1">
        <v>46</v>
      </c>
      <c r="D496" s="1">
        <v>75.099999999999994</v>
      </c>
      <c r="E496" s="1">
        <v>40.49</v>
      </c>
      <c r="F496" s="5">
        <f t="shared" si="35"/>
        <v>45470.581956018519</v>
      </c>
      <c r="G496" s="3">
        <f t="shared" si="36"/>
        <v>0.10096744874247462</v>
      </c>
      <c r="H496" s="3">
        <f t="shared" si="37"/>
        <v>7.5826554005598443E-2</v>
      </c>
      <c r="I496">
        <f t="shared" si="38"/>
        <v>40.07001630628956</v>
      </c>
      <c r="J496">
        <f t="shared" si="39"/>
        <v>51.481923565319818</v>
      </c>
      <c r="K496">
        <v>1.1823999999999999E-2</v>
      </c>
    </row>
    <row r="497" spans="1:11" ht="15" x14ac:dyDescent="0.25">
      <c r="A497" s="1" t="s">
        <v>5</v>
      </c>
      <c r="B497" s="1" t="s">
        <v>493</v>
      </c>
      <c r="C497" s="1">
        <v>46</v>
      </c>
      <c r="D497" s="1">
        <v>75.3</v>
      </c>
      <c r="E497" s="1">
        <v>40.54</v>
      </c>
      <c r="F497" s="5">
        <f t="shared" si="35"/>
        <v>45470.582187499997</v>
      </c>
      <c r="G497" s="3">
        <f t="shared" si="36"/>
        <v>0.10096744874247462</v>
      </c>
      <c r="H497" s="3">
        <f t="shared" si="37"/>
        <v>7.6028488903083391E-2</v>
      </c>
      <c r="I497">
        <f t="shared" si="38"/>
        <v>40.118939045494592</v>
      </c>
      <c r="J497">
        <f t="shared" si="39"/>
        <v>51.619025891725464</v>
      </c>
      <c r="K497">
        <v>1.1958999999999999E-2</v>
      </c>
    </row>
    <row r="498" spans="1:11" ht="15" x14ac:dyDescent="0.25">
      <c r="A498" s="1" t="s">
        <v>5</v>
      </c>
      <c r="B498" s="1" t="s">
        <v>494</v>
      </c>
      <c r="C498" s="1">
        <v>46.1</v>
      </c>
      <c r="D498" s="1">
        <v>76.3</v>
      </c>
      <c r="E498" s="1">
        <v>40.880000000000003</v>
      </c>
      <c r="F498" s="5">
        <f t="shared" si="35"/>
        <v>45470.582418981481</v>
      </c>
      <c r="G498" s="3">
        <f t="shared" si="36"/>
        <v>0.10148421616701862</v>
      </c>
      <c r="H498" s="3">
        <f t="shared" si="37"/>
        <v>7.7432456935435198E-2</v>
      </c>
      <c r="I498">
        <f t="shared" si="38"/>
        <v>40.455965050701188</v>
      </c>
      <c r="J498">
        <f t="shared" si="39"/>
        <v>52.555773026016723</v>
      </c>
      <c r="K498">
        <v>1.2064E-2</v>
      </c>
    </row>
    <row r="499" spans="1:11" ht="15" x14ac:dyDescent="0.25">
      <c r="A499" s="1" t="s">
        <v>5</v>
      </c>
      <c r="B499" s="1" t="s">
        <v>495</v>
      </c>
      <c r="C499" s="1">
        <v>46.1</v>
      </c>
      <c r="D499" s="1">
        <v>76.400000000000006</v>
      </c>
      <c r="E499" s="1">
        <v>40.909999999999997</v>
      </c>
      <c r="F499" s="5">
        <f t="shared" si="35"/>
        <v>45470.582650462966</v>
      </c>
      <c r="G499" s="3">
        <f t="shared" si="36"/>
        <v>0.10148421616701862</v>
      </c>
      <c r="H499" s="3">
        <f t="shared" si="37"/>
        <v>7.753394115160224E-2</v>
      </c>
      <c r="I499">
        <f t="shared" si="38"/>
        <v>40.480118565283895</v>
      </c>
      <c r="J499">
        <f t="shared" si="39"/>
        <v>52.624653462485959</v>
      </c>
      <c r="K499">
        <v>1.2095E-2</v>
      </c>
    </row>
    <row r="500" spans="1:11" ht="15" x14ac:dyDescent="0.25">
      <c r="A500" s="1" t="s">
        <v>5</v>
      </c>
      <c r="B500" s="1" t="s">
        <v>496</v>
      </c>
      <c r="C500" s="1">
        <v>46.1</v>
      </c>
      <c r="D500" s="1">
        <v>76.900000000000006</v>
      </c>
      <c r="E500" s="1">
        <v>41.03</v>
      </c>
      <c r="F500" s="5">
        <f t="shared" si="35"/>
        <v>45470.582881944443</v>
      </c>
      <c r="G500" s="3">
        <f t="shared" si="36"/>
        <v>0.10148421616701862</v>
      </c>
      <c r="H500" s="3">
        <f t="shared" si="37"/>
        <v>7.8041362232437322E-2</v>
      </c>
      <c r="I500">
        <f t="shared" si="38"/>
        <v>40.600472289281974</v>
      </c>
      <c r="J500">
        <f t="shared" si="39"/>
        <v>52.969055644832068</v>
      </c>
      <c r="K500">
        <v>1.2147E-2</v>
      </c>
    </row>
    <row r="501" spans="1:11" ht="15" x14ac:dyDescent="0.25">
      <c r="A501" s="1" t="s">
        <v>5</v>
      </c>
      <c r="B501" s="1" t="s">
        <v>497</v>
      </c>
      <c r="C501" s="1">
        <v>46.1</v>
      </c>
      <c r="D501" s="1">
        <v>74.599999999999994</v>
      </c>
      <c r="E501" s="1">
        <v>40.46</v>
      </c>
      <c r="F501" s="5">
        <f t="shared" si="35"/>
        <v>45470.583113425928</v>
      </c>
      <c r="G501" s="3">
        <f t="shared" si="36"/>
        <v>0.10148421616701862</v>
      </c>
      <c r="H501" s="3">
        <f t="shared" si="37"/>
        <v>7.5707225260595881E-2</v>
      </c>
      <c r="I501">
        <f t="shared" si="38"/>
        <v>40.041052858966339</v>
      </c>
      <c r="J501">
        <f t="shared" si="39"/>
        <v>51.38480560603994</v>
      </c>
      <c r="K501">
        <v>1.1986999999999999E-2</v>
      </c>
    </row>
    <row r="502" spans="1:11" ht="15" x14ac:dyDescent="0.25">
      <c r="A502" s="1" t="s">
        <v>5</v>
      </c>
      <c r="B502" s="1" t="s">
        <v>498</v>
      </c>
      <c r="C502" s="1">
        <v>46.1</v>
      </c>
      <c r="D502" s="1">
        <v>74.599999999999994</v>
      </c>
      <c r="E502" s="1">
        <v>40.46</v>
      </c>
      <c r="F502" s="5">
        <f t="shared" si="35"/>
        <v>45470.583344907405</v>
      </c>
      <c r="G502" s="3">
        <f t="shared" si="36"/>
        <v>0.10148421616701862</v>
      </c>
      <c r="H502" s="3">
        <f t="shared" si="37"/>
        <v>7.5707225260595881E-2</v>
      </c>
      <c r="I502">
        <f t="shared" si="38"/>
        <v>40.041052858966339</v>
      </c>
      <c r="J502">
        <f t="shared" si="39"/>
        <v>51.38480560603994</v>
      </c>
      <c r="K502">
        <v>1.1828999999999999E-2</v>
      </c>
    </row>
    <row r="503" spans="1:11" ht="15" x14ac:dyDescent="0.25">
      <c r="A503" s="1" t="s">
        <v>5</v>
      </c>
      <c r="B503" s="1" t="s">
        <v>499</v>
      </c>
      <c r="C503" s="1">
        <v>46.1</v>
      </c>
      <c r="D503" s="1">
        <v>74.8</v>
      </c>
      <c r="E503" s="1">
        <v>40.51</v>
      </c>
      <c r="F503" s="5">
        <f t="shared" si="35"/>
        <v>45470.58357638889</v>
      </c>
      <c r="G503" s="3">
        <f t="shared" si="36"/>
        <v>0.10148421616701862</v>
      </c>
      <c r="H503" s="3">
        <f t="shared" si="37"/>
        <v>7.5910193692929923E-2</v>
      </c>
      <c r="I503">
        <f t="shared" si="38"/>
        <v>40.090293514953011</v>
      </c>
      <c r="J503">
        <f t="shared" si="39"/>
        <v>51.522566478978391</v>
      </c>
      <c r="K503">
        <v>1.2042000000000001E-2</v>
      </c>
    </row>
    <row r="504" spans="1:11" ht="15" x14ac:dyDescent="0.25">
      <c r="A504" s="1" t="s">
        <v>5</v>
      </c>
      <c r="B504" s="1" t="s">
        <v>500</v>
      </c>
      <c r="C504" s="1">
        <v>46.2</v>
      </c>
      <c r="D504" s="1">
        <v>72.8</v>
      </c>
      <c r="E504" s="1">
        <v>40.1</v>
      </c>
      <c r="F504" s="5">
        <f t="shared" si="35"/>
        <v>45470.583807870367</v>
      </c>
      <c r="G504" s="3">
        <f t="shared" si="36"/>
        <v>0.1020032564732898</v>
      </c>
      <c r="H504" s="3">
        <f t="shared" si="37"/>
        <v>7.4258370712554977E-2</v>
      </c>
      <c r="I504">
        <f t="shared" si="38"/>
        <v>39.686157813812564</v>
      </c>
      <c r="J504">
        <f t="shared" si="39"/>
        <v>50.385641278426284</v>
      </c>
      <c r="K504">
        <v>1.1998999999999999E-2</v>
      </c>
    </row>
    <row r="505" spans="1:11" ht="15" x14ac:dyDescent="0.25">
      <c r="A505" s="1" t="s">
        <v>5</v>
      </c>
      <c r="B505" s="1" t="s">
        <v>501</v>
      </c>
      <c r="C505" s="1">
        <v>46.2</v>
      </c>
      <c r="D505" s="1">
        <v>74.7</v>
      </c>
      <c r="E505" s="1">
        <v>40.58</v>
      </c>
      <c r="F505" s="5">
        <f t="shared" si="35"/>
        <v>45470.584039351852</v>
      </c>
      <c r="G505" s="3">
        <f t="shared" si="36"/>
        <v>0.1020032564732898</v>
      </c>
      <c r="H505" s="3">
        <f t="shared" si="37"/>
        <v>7.619643258554748E-2</v>
      </c>
      <c r="I505">
        <f t="shared" si="38"/>
        <v>40.159540092664642</v>
      </c>
      <c r="J505">
        <f t="shared" si="39"/>
        <v>51.700651146956645</v>
      </c>
      <c r="K505">
        <v>1.2106E-2</v>
      </c>
    </row>
    <row r="506" spans="1:11" ht="15" x14ac:dyDescent="0.25">
      <c r="A506" s="1" t="s">
        <v>5</v>
      </c>
      <c r="B506" s="1" t="s">
        <v>502</v>
      </c>
      <c r="C506" s="1">
        <v>46.2</v>
      </c>
      <c r="D506" s="1">
        <v>71.400000000000006</v>
      </c>
      <c r="E506" s="1">
        <v>39.74</v>
      </c>
      <c r="F506" s="5">
        <f t="shared" si="35"/>
        <v>45470.584270833337</v>
      </c>
      <c r="G506" s="3">
        <f t="shared" si="36"/>
        <v>0.1020032564732898</v>
      </c>
      <c r="H506" s="3">
        <f t="shared" si="37"/>
        <v>7.2830325121928927E-2</v>
      </c>
      <c r="I506">
        <f t="shared" si="38"/>
        <v>39.330370979133122</v>
      </c>
      <c r="J506">
        <f t="shared" si="39"/>
        <v>49.416686638456547</v>
      </c>
      <c r="K506">
        <v>1.1866E-2</v>
      </c>
    </row>
    <row r="507" spans="1:11" ht="15" x14ac:dyDescent="0.25">
      <c r="A507" s="1" t="s">
        <v>5</v>
      </c>
      <c r="B507" s="1" t="s">
        <v>503</v>
      </c>
      <c r="C507" s="1">
        <v>46.1</v>
      </c>
      <c r="D507" s="1">
        <v>62.1</v>
      </c>
      <c r="E507" s="1">
        <v>37.06</v>
      </c>
      <c r="F507" s="5">
        <f t="shared" si="35"/>
        <v>45470.584502314814</v>
      </c>
      <c r="G507" s="3">
        <f t="shared" si="36"/>
        <v>0.10148421616701862</v>
      </c>
      <c r="H507" s="3">
        <f t="shared" si="37"/>
        <v>6.3021698239718565E-2</v>
      </c>
      <c r="I507">
        <f t="shared" si="38"/>
        <v>36.70657308924752</v>
      </c>
      <c r="J507">
        <f t="shared" si="39"/>
        <v>42.774751047387142</v>
      </c>
      <c r="K507">
        <v>1.0893E-2</v>
      </c>
    </row>
    <row r="508" spans="1:11" ht="15" x14ac:dyDescent="0.25">
      <c r="A508" s="1" t="s">
        <v>5</v>
      </c>
      <c r="B508" s="1" t="s">
        <v>504</v>
      </c>
      <c r="C508" s="1">
        <v>46.1</v>
      </c>
      <c r="D508" s="1">
        <v>54.8</v>
      </c>
      <c r="E508" s="1">
        <v>34.79</v>
      </c>
      <c r="F508" s="5">
        <f t="shared" si="35"/>
        <v>45470.584733796299</v>
      </c>
      <c r="G508" s="3">
        <f t="shared" si="36"/>
        <v>0.10148421616701862</v>
      </c>
      <c r="H508" s="3">
        <f t="shared" si="37"/>
        <v>5.5613350459526201E-2</v>
      </c>
      <c r="I508">
        <f t="shared" si="38"/>
        <v>34.475391674876981</v>
      </c>
      <c r="J508">
        <f t="shared" si="39"/>
        <v>37.7464791851339</v>
      </c>
      <c r="K508">
        <v>9.9830000000000006E-3</v>
      </c>
    </row>
    <row r="509" spans="1:11" ht="15" x14ac:dyDescent="0.25">
      <c r="A509" s="1" t="s">
        <v>5</v>
      </c>
      <c r="B509" s="1" t="s">
        <v>505</v>
      </c>
      <c r="C509" s="1">
        <v>46</v>
      </c>
      <c r="D509" s="1">
        <v>47.5</v>
      </c>
      <c r="E509" s="1">
        <v>32.14</v>
      </c>
      <c r="F509" s="5">
        <f t="shared" si="35"/>
        <v>45470.584965277776</v>
      </c>
      <c r="G509" s="3">
        <f t="shared" si="36"/>
        <v>0.10096744874247462</v>
      </c>
      <c r="H509" s="3">
        <f t="shared" si="37"/>
        <v>4.7959538152675452E-2</v>
      </c>
      <c r="I509">
        <f t="shared" si="38"/>
        <v>31.877098779454418</v>
      </c>
      <c r="J509">
        <f t="shared" si="39"/>
        <v>32.561802521340766</v>
      </c>
      <c r="K509">
        <v>9.0609999999999996E-3</v>
      </c>
    </row>
    <row r="510" spans="1:11" ht="15" x14ac:dyDescent="0.25">
      <c r="A510" s="1" t="s">
        <v>5</v>
      </c>
      <c r="B510" s="1" t="s">
        <v>506</v>
      </c>
      <c r="C510" s="1">
        <v>45.8</v>
      </c>
      <c r="D510" s="1">
        <v>42.9</v>
      </c>
      <c r="E510" s="1">
        <v>30.18</v>
      </c>
      <c r="F510" s="5">
        <f t="shared" si="35"/>
        <v>45470.585196759261</v>
      </c>
      <c r="G510" s="3">
        <f t="shared" si="36"/>
        <v>9.9940699854068699E-2</v>
      </c>
      <c r="H510" s="3">
        <f t="shared" si="37"/>
        <v>4.287456023739547E-2</v>
      </c>
      <c r="I510">
        <f t="shared" si="38"/>
        <v>29.940889676109819</v>
      </c>
      <c r="J510">
        <f t="shared" si="39"/>
        <v>29.127644583651616</v>
      </c>
      <c r="K510">
        <v>8.3960000000000007E-3</v>
      </c>
    </row>
    <row r="511" spans="1:11" ht="15" x14ac:dyDescent="0.25">
      <c r="A511" s="1" t="s">
        <v>5</v>
      </c>
      <c r="B511" s="1" t="s">
        <v>507</v>
      </c>
      <c r="C511" s="1">
        <v>45.6</v>
      </c>
      <c r="D511" s="1">
        <v>38.799999999999997</v>
      </c>
      <c r="E511" s="1">
        <v>28.26</v>
      </c>
      <c r="F511" s="5">
        <f t="shared" si="35"/>
        <v>45470.585428240738</v>
      </c>
      <c r="G511" s="3">
        <f t="shared" si="36"/>
        <v>9.8922944658928133E-2</v>
      </c>
      <c r="H511" s="3">
        <f t="shared" si="37"/>
        <v>3.8382102527664115E-2</v>
      </c>
      <c r="I511">
        <f t="shared" si="38"/>
        <v>28.054016196609123</v>
      </c>
      <c r="J511">
        <f t="shared" si="39"/>
        <v>26.09196951299581</v>
      </c>
      <c r="K511">
        <v>7.4900000000000001E-3</v>
      </c>
    </row>
    <row r="512" spans="1:11" ht="15" x14ac:dyDescent="0.25">
      <c r="A512" s="1" t="s">
        <v>5</v>
      </c>
      <c r="B512" s="1" t="s">
        <v>508</v>
      </c>
      <c r="C512" s="1">
        <v>45.4</v>
      </c>
      <c r="D512" s="1">
        <v>34.6</v>
      </c>
      <c r="E512" s="1">
        <v>26.13</v>
      </c>
      <c r="F512" s="5">
        <f t="shared" si="35"/>
        <v>45470.585659722223</v>
      </c>
      <c r="G512" s="3">
        <f t="shared" si="36"/>
        <v>9.7914118358931823E-2</v>
      </c>
      <c r="H512" s="3">
        <f t="shared" si="37"/>
        <v>3.3878284952190411E-2</v>
      </c>
      <c r="I512">
        <f t="shared" si="38"/>
        <v>25.955812411406569</v>
      </c>
      <c r="J512">
        <f t="shared" si="39"/>
        <v>23.044755345186598</v>
      </c>
      <c r="K512">
        <v>6.7970000000000001E-3</v>
      </c>
    </row>
    <row r="513" spans="1:11" ht="15" x14ac:dyDescent="0.25">
      <c r="A513" s="1" t="s">
        <v>5</v>
      </c>
      <c r="B513" s="1" t="s">
        <v>509</v>
      </c>
      <c r="C513" s="1">
        <v>45.2</v>
      </c>
      <c r="D513" s="1">
        <v>32.9</v>
      </c>
      <c r="E513" s="1">
        <v>25.11</v>
      </c>
      <c r="F513" s="5">
        <f t="shared" si="35"/>
        <v>45470.5858912037</v>
      </c>
      <c r="G513" s="3">
        <f t="shared" si="36"/>
        <v>9.6914156505917212E-2</v>
      </c>
      <c r="H513" s="3">
        <f t="shared" si="37"/>
        <v>3.1884757490446759E-2</v>
      </c>
      <c r="I513">
        <f t="shared" si="38"/>
        <v>24.947440852475701</v>
      </c>
      <c r="J513">
        <f t="shared" si="39"/>
        <v>21.702339776720983</v>
      </c>
      <c r="K513">
        <v>6.2960000000000004E-3</v>
      </c>
    </row>
    <row r="514" spans="1:11" ht="15" x14ac:dyDescent="0.25">
      <c r="A514" s="1" t="s">
        <v>5</v>
      </c>
      <c r="B514" s="1" t="s">
        <v>510</v>
      </c>
      <c r="C514" s="1">
        <v>45</v>
      </c>
      <c r="D514" s="1">
        <v>32.6</v>
      </c>
      <c r="E514" s="1">
        <v>24.79</v>
      </c>
      <c r="F514" s="5">
        <f t="shared" si="35"/>
        <v>45470.586122685185</v>
      </c>
      <c r="G514" s="3">
        <f t="shared" si="36"/>
        <v>9.5922995000613701E-2</v>
      </c>
      <c r="H514" s="3">
        <f t="shared" si="37"/>
        <v>3.1270896370200064E-2</v>
      </c>
      <c r="I514">
        <f t="shared" si="38"/>
        <v>24.625724255263197</v>
      </c>
      <c r="J514">
        <f t="shared" si="39"/>
        <v>21.297895774545772</v>
      </c>
      <c r="K514">
        <v>6.071E-3</v>
      </c>
    </row>
    <row r="515" spans="1:11" ht="15" x14ac:dyDescent="0.25">
      <c r="A515" s="1" t="s">
        <v>5</v>
      </c>
      <c r="B515" s="1" t="s">
        <v>511</v>
      </c>
      <c r="C515" s="1">
        <v>44.7</v>
      </c>
      <c r="D515" s="1">
        <v>29.5</v>
      </c>
      <c r="E515" s="1">
        <v>22.87</v>
      </c>
      <c r="F515" s="5">
        <f t="shared" si="35"/>
        <v>45470.586354166669</v>
      </c>
      <c r="G515" s="3">
        <f t="shared" si="36"/>
        <v>9.445261403317258E-2</v>
      </c>
      <c r="H515" s="3">
        <f t="shared" si="37"/>
        <v>2.7863521139785911E-2</v>
      </c>
      <c r="I515">
        <f t="shared" si="38"/>
        <v>22.731472259464635</v>
      </c>
      <c r="J515">
        <f t="shared" si="39"/>
        <v>18.995121536055688</v>
      </c>
      <c r="K515">
        <v>5.9100000000000003E-3</v>
      </c>
    </row>
    <row r="516" spans="1:11" ht="15" x14ac:dyDescent="0.25">
      <c r="A516" s="1" t="s">
        <v>5</v>
      </c>
      <c r="B516" s="1" t="s">
        <v>512</v>
      </c>
      <c r="C516" s="1">
        <v>44.5</v>
      </c>
      <c r="D516" s="1">
        <v>28.5</v>
      </c>
      <c r="E516" s="1">
        <v>22.13</v>
      </c>
      <c r="F516" s="5">
        <f t="shared" si="35"/>
        <v>45470.586585648147</v>
      </c>
      <c r="G516" s="3">
        <f t="shared" si="36"/>
        <v>9.3483175242801406E-2</v>
      </c>
      <c r="H516" s="3">
        <f t="shared" si="37"/>
        <v>2.66427049441984E-2</v>
      </c>
      <c r="I516">
        <f t="shared" si="38"/>
        <v>22.002700223471205</v>
      </c>
      <c r="J516">
        <f t="shared" si="39"/>
        <v>18.174302408855667</v>
      </c>
      <c r="K516">
        <v>5.2300000000000003E-3</v>
      </c>
    </row>
    <row r="517" spans="1:11" ht="15" x14ac:dyDescent="0.25">
      <c r="A517" s="1" t="s">
        <v>5</v>
      </c>
      <c r="B517" s="1" t="s">
        <v>513</v>
      </c>
      <c r="C517" s="1">
        <v>44.3</v>
      </c>
      <c r="D517" s="1">
        <v>26.9</v>
      </c>
      <c r="E517" s="1">
        <v>21.02</v>
      </c>
      <c r="F517" s="5">
        <f t="shared" si="35"/>
        <v>45470.586817129632</v>
      </c>
      <c r="G517" s="3">
        <f t="shared" si="36"/>
        <v>9.2522315184786943E-2</v>
      </c>
      <c r="H517" s="3">
        <f t="shared" si="37"/>
        <v>2.4888502784707684E-2</v>
      </c>
      <c r="I517">
        <f t="shared" si="38"/>
        <v>20.902063686943851</v>
      </c>
      <c r="J517">
        <f t="shared" si="39"/>
        <v>16.988370924184874</v>
      </c>
      <c r="K517">
        <v>5.339E-3</v>
      </c>
    </row>
    <row r="518" spans="1:11" ht="15" x14ac:dyDescent="0.25">
      <c r="A518" s="1" t="s">
        <v>5</v>
      </c>
      <c r="B518" s="1" t="s">
        <v>514</v>
      </c>
      <c r="C518" s="1">
        <v>44</v>
      </c>
      <c r="D518" s="1">
        <v>26.6</v>
      </c>
      <c r="E518" s="1">
        <v>20.58</v>
      </c>
      <c r="F518" s="5">
        <f t="shared" si="35"/>
        <v>45470.587048611109</v>
      </c>
      <c r="G518" s="3">
        <f t="shared" si="36"/>
        <v>9.1096973503045769E-2</v>
      </c>
      <c r="H518" s="3">
        <f t="shared" si="37"/>
        <v>2.4231794951810177E-2</v>
      </c>
      <c r="I518">
        <f t="shared" si="38"/>
        <v>20.472313280170489</v>
      </c>
      <c r="J518">
        <f t="shared" si="39"/>
        <v>16.555761609780074</v>
      </c>
      <c r="K518">
        <v>5.4310000000000001E-3</v>
      </c>
    </row>
    <row r="519" spans="1:11" ht="15" x14ac:dyDescent="0.25">
      <c r="A519" s="1" t="s">
        <v>5</v>
      </c>
      <c r="B519" s="1" t="s">
        <v>515</v>
      </c>
      <c r="C519" s="1">
        <v>43.7</v>
      </c>
      <c r="D519" s="1">
        <v>26.9</v>
      </c>
      <c r="E519" s="1">
        <v>20.51</v>
      </c>
      <c r="F519" s="5">
        <f t="shared" si="35"/>
        <v>45470.587280092594</v>
      </c>
      <c r="G519" s="3">
        <f t="shared" si="36"/>
        <v>8.9690583693860626E-2</v>
      </c>
      <c r="H519" s="3">
        <f t="shared" si="37"/>
        <v>2.412676701364851E-2</v>
      </c>
      <c r="I519">
        <f t="shared" si="38"/>
        <v>20.402629684245571</v>
      </c>
      <c r="J519">
        <f t="shared" si="39"/>
        <v>16.499611313800145</v>
      </c>
      <c r="K519">
        <v>5.2560000000000003E-3</v>
      </c>
    </row>
    <row r="520" spans="1:11" ht="15" x14ac:dyDescent="0.25">
      <c r="A520" s="1" t="s">
        <v>5</v>
      </c>
      <c r="B520" s="1" t="s">
        <v>516</v>
      </c>
      <c r="C520" s="1">
        <v>43.5</v>
      </c>
      <c r="D520" s="1">
        <v>25.7</v>
      </c>
      <c r="E520" s="1">
        <v>19.61</v>
      </c>
      <c r="F520" s="5">
        <f t="shared" si="35"/>
        <v>45470.587511574071</v>
      </c>
      <c r="G520" s="3">
        <f t="shared" si="36"/>
        <v>8.8763416564940911E-2</v>
      </c>
      <c r="H520" s="3">
        <f t="shared" si="37"/>
        <v>2.2812198057189814E-2</v>
      </c>
      <c r="I520">
        <f t="shared" si="38"/>
        <v>19.506957623996627</v>
      </c>
      <c r="J520">
        <f t="shared" si="39"/>
        <v>15.610468446635915</v>
      </c>
      <c r="K520">
        <v>4.9459999999999999E-3</v>
      </c>
    </row>
    <row r="521" spans="1:11" ht="15" x14ac:dyDescent="0.25">
      <c r="A521" s="1" t="s">
        <v>5</v>
      </c>
      <c r="B521" s="1" t="s">
        <v>517</v>
      </c>
      <c r="C521" s="1">
        <v>43.2</v>
      </c>
      <c r="D521" s="1">
        <v>25.7</v>
      </c>
      <c r="E521" s="1">
        <v>19.36</v>
      </c>
      <c r="F521" s="5">
        <f t="shared" si="35"/>
        <v>45470.587743055556</v>
      </c>
      <c r="G521" s="3">
        <f t="shared" si="36"/>
        <v>8.7388152044731965E-2</v>
      </c>
      <c r="H521" s="3">
        <f t="shared" si="37"/>
        <v>2.2458755075496117E-2</v>
      </c>
      <c r="I521">
        <f t="shared" si="38"/>
        <v>19.258358329957105</v>
      </c>
      <c r="J521">
        <f t="shared" si="39"/>
        <v>15.38318046083681</v>
      </c>
      <c r="K521">
        <v>4.8630000000000001E-3</v>
      </c>
    </row>
    <row r="522" spans="1:11" ht="15" x14ac:dyDescent="0.25">
      <c r="A522" s="1" t="s">
        <v>5</v>
      </c>
      <c r="B522" s="1" t="s">
        <v>518</v>
      </c>
      <c r="C522" s="1">
        <v>43</v>
      </c>
      <c r="D522" s="1">
        <v>26</v>
      </c>
      <c r="E522" s="1">
        <v>19.38</v>
      </c>
      <c r="F522" s="5">
        <f t="shared" ref="F522:F584" si="40">A522+B522</f>
        <v>45470.58797453704</v>
      </c>
      <c r="G522" s="3">
        <f t="shared" ref="G522:G584" si="41">$B$2*EXP(($B$3-C522/$B$5)*(C522/($B$4+C522)))</f>
        <v>8.6481544547368588E-2</v>
      </c>
      <c r="H522" s="3">
        <f t="shared" ref="H522:H584" si="42">D522*G522/100</f>
        <v>2.2485201582315834E-2</v>
      </c>
      <c r="I522">
        <f t="shared" ref="I522:I584" si="43">$B$4*LN(H522/$B$2)/($B$3-LN(H522/$B$2))</f>
        <v>19.277079258324843</v>
      </c>
      <c r="J522">
        <f t="shared" ref="J522:J584" si="44">1000*H522*100000/($B$6*(C522+273.15))</f>
        <v>15.411038092074961</v>
      </c>
      <c r="K522">
        <v>4.797E-3</v>
      </c>
    </row>
    <row r="523" spans="1:11" ht="15" x14ac:dyDescent="0.25">
      <c r="A523" s="1" t="s">
        <v>5</v>
      </c>
      <c r="B523" s="1" t="s">
        <v>519</v>
      </c>
      <c r="C523" s="1">
        <v>42.7</v>
      </c>
      <c r="D523" s="1">
        <v>26.2</v>
      </c>
      <c r="E523" s="1">
        <v>19.25</v>
      </c>
      <c r="F523" s="5">
        <f t="shared" si="40"/>
        <v>45470.588206018518</v>
      </c>
      <c r="G523" s="3">
        <f t="shared" si="41"/>
        <v>8.5136835744568845E-2</v>
      </c>
      <c r="H523" s="3">
        <f t="shared" si="42"/>
        <v>2.2305850965077038E-2</v>
      </c>
      <c r="I523">
        <f t="shared" si="43"/>
        <v>19.149736708998876</v>
      </c>
      <c r="J523">
        <f t="shared" si="44"/>
        <v>15.30263464892464</v>
      </c>
      <c r="K523">
        <v>4.6210000000000001E-3</v>
      </c>
    </row>
    <row r="524" spans="1:11" ht="15" x14ac:dyDescent="0.25">
      <c r="A524" s="1" t="s">
        <v>5</v>
      </c>
      <c r="B524" s="1" t="s">
        <v>520</v>
      </c>
      <c r="C524" s="1">
        <v>42.5</v>
      </c>
      <c r="D524" s="1">
        <v>25.5</v>
      </c>
      <c r="E524" s="1">
        <v>18.649999999999999</v>
      </c>
      <c r="F524" s="5">
        <f t="shared" si="40"/>
        <v>45470.588437500002</v>
      </c>
      <c r="G524" s="3">
        <f t="shared" si="41"/>
        <v>8.4250410799094705E-2</v>
      </c>
      <c r="H524" s="3">
        <f t="shared" si="42"/>
        <v>2.1483854753769148E-2</v>
      </c>
      <c r="I524">
        <f t="shared" si="43"/>
        <v>18.554251120998437</v>
      </c>
      <c r="J524">
        <f t="shared" si="44"/>
        <v>14.748053641409712</v>
      </c>
      <c r="K524">
        <v>4.5630000000000002E-3</v>
      </c>
    </row>
    <row r="525" spans="1:11" ht="15" x14ac:dyDescent="0.25">
      <c r="A525" s="1" t="s">
        <v>5</v>
      </c>
      <c r="B525" s="1" t="s">
        <v>521</v>
      </c>
      <c r="C525" s="1">
        <v>42.2</v>
      </c>
      <c r="D525" s="1">
        <v>25.2</v>
      </c>
      <c r="E525" s="1">
        <v>18.21</v>
      </c>
      <c r="F525" s="5">
        <f t="shared" si="40"/>
        <v>45470.58866898148</v>
      </c>
      <c r="G525" s="3">
        <f t="shared" si="41"/>
        <v>8.2935696029338174E-2</v>
      </c>
      <c r="H525" s="3">
        <f t="shared" si="42"/>
        <v>2.0899795399393219E-2</v>
      </c>
      <c r="I525">
        <f t="shared" si="43"/>
        <v>18.118754333408351</v>
      </c>
      <c r="J525">
        <f t="shared" si="44"/>
        <v>14.360762302419122</v>
      </c>
      <c r="K525">
        <v>4.3870000000000003E-3</v>
      </c>
    </row>
    <row r="526" spans="1:11" ht="15" x14ac:dyDescent="0.25">
      <c r="A526" s="1" t="s">
        <v>5</v>
      </c>
      <c r="B526" s="1" t="s">
        <v>522</v>
      </c>
      <c r="C526" s="1">
        <v>41.9</v>
      </c>
      <c r="D526" s="1">
        <v>25.3</v>
      </c>
      <c r="E526" s="1">
        <v>18.02</v>
      </c>
      <c r="F526" s="5">
        <f t="shared" si="40"/>
        <v>45470.588900462964</v>
      </c>
      <c r="G526" s="3">
        <f t="shared" si="41"/>
        <v>8.1638711328186481E-2</v>
      </c>
      <c r="H526" s="3">
        <f t="shared" si="42"/>
        <v>2.0654593966031181E-2</v>
      </c>
      <c r="I526">
        <f t="shared" si="43"/>
        <v>17.932704295571074</v>
      </c>
      <c r="J526">
        <f t="shared" si="44"/>
        <v>14.205792690754986</v>
      </c>
      <c r="K526">
        <v>4.346E-3</v>
      </c>
    </row>
    <row r="527" spans="1:11" ht="15" x14ac:dyDescent="0.25">
      <c r="A527" s="1" t="s">
        <v>5</v>
      </c>
      <c r="B527" s="1" t="s">
        <v>523</v>
      </c>
      <c r="C527" s="1">
        <v>41.6</v>
      </c>
      <c r="D527" s="1">
        <v>24.6</v>
      </c>
      <c r="E527" s="1">
        <v>17.32</v>
      </c>
      <c r="F527" s="5">
        <f t="shared" si="40"/>
        <v>45470.589131944442</v>
      </c>
      <c r="G527" s="3">
        <f t="shared" si="41"/>
        <v>8.0359258985882587E-2</v>
      </c>
      <c r="H527" s="3">
        <f t="shared" si="42"/>
        <v>1.976837771052712E-2</v>
      </c>
      <c r="I527">
        <f t="shared" si="43"/>
        <v>17.243549755179387</v>
      </c>
      <c r="J527">
        <f t="shared" si="44"/>
        <v>13.609231017430035</v>
      </c>
      <c r="K527">
        <v>4.1660000000000004E-3</v>
      </c>
    </row>
    <row r="528" spans="1:11" ht="15" x14ac:dyDescent="0.25">
      <c r="A528" s="1" t="s">
        <v>5</v>
      </c>
      <c r="B528" s="1" t="s">
        <v>524</v>
      </c>
      <c r="C528" s="1">
        <v>41.3</v>
      </c>
      <c r="D528" s="1">
        <v>23.9</v>
      </c>
      <c r="E528" s="1">
        <v>16.62</v>
      </c>
      <c r="F528" s="5">
        <f t="shared" si="40"/>
        <v>45470.589363425926</v>
      </c>
      <c r="G528" s="3">
        <f t="shared" si="41"/>
        <v>7.9097142963281686E-2</v>
      </c>
      <c r="H528" s="3">
        <f t="shared" si="42"/>
        <v>1.8904217168224321E-2</v>
      </c>
      <c r="I528">
        <f t="shared" si="43"/>
        <v>16.544670825064394</v>
      </c>
      <c r="J528">
        <f t="shared" si="44"/>
        <v>13.026729446244133</v>
      </c>
      <c r="K528">
        <v>4.143E-3</v>
      </c>
    </row>
    <row r="529" spans="1:11" ht="15" x14ac:dyDescent="0.25">
      <c r="A529" s="1" t="s">
        <v>5</v>
      </c>
      <c r="B529" s="1" t="s">
        <v>525</v>
      </c>
      <c r="C529" s="1">
        <v>41</v>
      </c>
      <c r="D529" s="1">
        <v>24.1</v>
      </c>
      <c r="E529" s="1">
        <v>16.5</v>
      </c>
      <c r="F529" s="5">
        <f t="shared" si="40"/>
        <v>45470.589594907404</v>
      </c>
      <c r="G529" s="3">
        <f t="shared" si="41"/>
        <v>7.7852168883562015E-2</v>
      </c>
      <c r="H529" s="3">
        <f t="shared" si="42"/>
        <v>1.8762372700938446E-2</v>
      </c>
      <c r="I529">
        <f t="shared" si="43"/>
        <v>16.427261462192607</v>
      </c>
      <c r="J529">
        <f t="shared" si="44"/>
        <v>12.941332309932923</v>
      </c>
      <c r="K529">
        <v>4.1060000000000003E-3</v>
      </c>
    </row>
    <row r="530" spans="1:11" ht="15" x14ac:dyDescent="0.25">
      <c r="A530" s="1" t="s">
        <v>5</v>
      </c>
      <c r="B530" s="1" t="s">
        <v>526</v>
      </c>
      <c r="C530" s="1">
        <v>40.700000000000003</v>
      </c>
      <c r="D530" s="1">
        <v>23.4</v>
      </c>
      <c r="E530" s="1">
        <v>15.79</v>
      </c>
      <c r="F530" s="5">
        <f t="shared" si="40"/>
        <v>45470.589826388888</v>
      </c>
      <c r="G530" s="3">
        <f t="shared" si="41"/>
        <v>7.6624144023923632E-2</v>
      </c>
      <c r="H530" s="3">
        <f t="shared" si="42"/>
        <v>1.793004970159813E-2</v>
      </c>
      <c r="I530">
        <f t="shared" si="43"/>
        <v>15.722037204633468</v>
      </c>
      <c r="J530">
        <f t="shared" si="44"/>
        <v>12.379059633588534</v>
      </c>
      <c r="K530">
        <v>4.0229999999999997E-3</v>
      </c>
    </row>
    <row r="531" spans="1:11" ht="15" x14ac:dyDescent="0.25">
      <c r="A531" s="1" t="s">
        <v>5</v>
      </c>
      <c r="B531" s="1" t="s">
        <v>527</v>
      </c>
      <c r="C531" s="1">
        <v>40.4</v>
      </c>
      <c r="D531" s="1">
        <v>23.9</v>
      </c>
      <c r="E531" s="1">
        <v>15.87</v>
      </c>
      <c r="F531" s="5">
        <f t="shared" si="40"/>
        <v>45470.590057870373</v>
      </c>
      <c r="G531" s="3">
        <f t="shared" si="41"/>
        <v>7.5412877307275555E-2</v>
      </c>
      <c r="H531" s="3">
        <f t="shared" si="42"/>
        <v>1.8023677676438855E-2</v>
      </c>
      <c r="I531">
        <f t="shared" si="43"/>
        <v>15.802799273206796</v>
      </c>
      <c r="J531">
        <f t="shared" si="44"/>
        <v>12.455607137181442</v>
      </c>
      <c r="K531">
        <v>4.2240000000000003E-3</v>
      </c>
    </row>
    <row r="532" spans="1:11" ht="15" x14ac:dyDescent="0.25">
      <c r="A532" s="1" t="s">
        <v>5</v>
      </c>
      <c r="B532" s="1" t="s">
        <v>528</v>
      </c>
      <c r="C532" s="1">
        <v>40.1</v>
      </c>
      <c r="D532" s="1">
        <v>24.8</v>
      </c>
      <c r="E532" s="1">
        <v>16.2</v>
      </c>
      <c r="F532" s="5">
        <f t="shared" si="40"/>
        <v>45470.590289351851</v>
      </c>
      <c r="G532" s="3">
        <f t="shared" si="41"/>
        <v>7.4218179293912057E-2</v>
      </c>
      <c r="H532" s="3">
        <f t="shared" si="42"/>
        <v>1.840610846489019E-2</v>
      </c>
      <c r="I532">
        <f t="shared" si="43"/>
        <v>16.128864104562957</v>
      </c>
      <c r="J532">
        <f t="shared" si="44"/>
        <v>12.732075108071852</v>
      </c>
      <c r="K532">
        <v>3.8630000000000001E-3</v>
      </c>
    </row>
    <row r="533" spans="1:11" ht="15" x14ac:dyDescent="0.25">
      <c r="A533" s="1" t="s">
        <v>5</v>
      </c>
      <c r="B533" s="1" t="s">
        <v>529</v>
      </c>
      <c r="C533" s="1">
        <v>39.799999999999997</v>
      </c>
      <c r="D533" s="1">
        <v>23.4</v>
      </c>
      <c r="E533" s="1">
        <v>15.04</v>
      </c>
      <c r="F533" s="5">
        <f t="shared" si="40"/>
        <v>45470.590520833335</v>
      </c>
      <c r="G533" s="3">
        <f t="shared" si="41"/>
        <v>7.3039862173178233E-2</v>
      </c>
      <c r="H533" s="3">
        <f t="shared" si="42"/>
        <v>1.7091327748523705E-2</v>
      </c>
      <c r="I533">
        <f t="shared" si="43"/>
        <v>14.981403211371562</v>
      </c>
      <c r="J533">
        <f t="shared" si="44"/>
        <v>11.833933955315798</v>
      </c>
      <c r="K533">
        <v>3.8289999999999999E-3</v>
      </c>
    </row>
    <row r="534" spans="1:11" ht="15" x14ac:dyDescent="0.25">
      <c r="A534" s="1" t="s">
        <v>5</v>
      </c>
      <c r="B534" s="1" t="s">
        <v>530</v>
      </c>
      <c r="C534" s="1">
        <v>39.6</v>
      </c>
      <c r="D534" s="1">
        <v>24.1</v>
      </c>
      <c r="E534" s="1">
        <v>15.33</v>
      </c>
      <c r="F534" s="5">
        <f t="shared" si="40"/>
        <v>45470.590752314813</v>
      </c>
      <c r="G534" s="3">
        <f t="shared" si="41"/>
        <v>7.2263325909830339E-2</v>
      </c>
      <c r="H534" s="3">
        <f t="shared" si="42"/>
        <v>1.7415461544269113E-2</v>
      </c>
      <c r="I534">
        <f t="shared" si="43"/>
        <v>15.271371467237914</v>
      </c>
      <c r="J534">
        <f t="shared" si="44"/>
        <v>12.066073455788167</v>
      </c>
      <c r="K534">
        <v>3.7940000000000001E-3</v>
      </c>
    </row>
    <row r="535" spans="1:11" ht="15" x14ac:dyDescent="0.25">
      <c r="A535" s="1" t="s">
        <v>5</v>
      </c>
      <c r="B535" s="1" t="s">
        <v>531</v>
      </c>
      <c r="C535" s="1">
        <v>39.200000000000003</v>
      </c>
      <c r="D535" s="1">
        <v>24.1</v>
      </c>
      <c r="E535" s="1">
        <v>15</v>
      </c>
      <c r="F535" s="5">
        <f t="shared" si="40"/>
        <v>45470.590983796297</v>
      </c>
      <c r="G535" s="3">
        <f t="shared" si="41"/>
        <v>7.0731627462156915E-2</v>
      </c>
      <c r="H535" s="3">
        <f t="shared" si="42"/>
        <v>1.7046322218379817E-2</v>
      </c>
      <c r="I535">
        <f t="shared" si="43"/>
        <v>14.94075672345833</v>
      </c>
      <c r="J535">
        <f t="shared" si="44"/>
        <v>11.825444598849575</v>
      </c>
      <c r="K535">
        <v>3.725E-3</v>
      </c>
    </row>
    <row r="536" spans="1:11" ht="15" x14ac:dyDescent="0.25">
      <c r="A536" s="1" t="s">
        <v>5</v>
      </c>
      <c r="B536" s="1" t="s">
        <v>532</v>
      </c>
      <c r="C536" s="1">
        <v>38.9</v>
      </c>
      <c r="D536" s="1">
        <v>23.9</v>
      </c>
      <c r="E536" s="1">
        <v>14.62</v>
      </c>
      <c r="F536" s="5">
        <f t="shared" si="40"/>
        <v>45470.591215277775</v>
      </c>
      <c r="G536" s="3">
        <f t="shared" si="41"/>
        <v>6.9601342320664977E-2</v>
      </c>
      <c r="H536" s="3">
        <f t="shared" si="42"/>
        <v>1.6634720814638928E-2</v>
      </c>
      <c r="I536">
        <f t="shared" si="43"/>
        <v>14.564540392562291</v>
      </c>
      <c r="J536">
        <f t="shared" si="44"/>
        <v>11.551001070326661</v>
      </c>
      <c r="K536">
        <v>3.8300000000000001E-3</v>
      </c>
    </row>
    <row r="537" spans="1:11" ht="15" x14ac:dyDescent="0.25">
      <c r="A537" s="1" t="s">
        <v>5</v>
      </c>
      <c r="B537" s="1" t="s">
        <v>533</v>
      </c>
      <c r="C537" s="1">
        <v>38.700000000000003</v>
      </c>
      <c r="D537" s="1">
        <v>24.5</v>
      </c>
      <c r="E537" s="1">
        <v>14.84</v>
      </c>
      <c r="F537" s="5">
        <f t="shared" si="40"/>
        <v>45470.591446759259</v>
      </c>
      <c r="G537" s="3">
        <f t="shared" si="41"/>
        <v>6.8856522120146535E-2</v>
      </c>
      <c r="H537" s="3">
        <f t="shared" si="42"/>
        <v>1.6869847919435899E-2</v>
      </c>
      <c r="I537">
        <f t="shared" si="43"/>
        <v>14.78045128228645</v>
      </c>
      <c r="J537">
        <f t="shared" si="44"/>
        <v>11.721783985054</v>
      </c>
      <c r="K537">
        <v>3.6900000000000001E-3</v>
      </c>
    </row>
    <row r="538" spans="1:11" ht="15" x14ac:dyDescent="0.25">
      <c r="A538" s="1" t="s">
        <v>5</v>
      </c>
      <c r="B538" s="1" t="s">
        <v>534</v>
      </c>
      <c r="C538" s="1">
        <v>38.4</v>
      </c>
      <c r="D538" s="1">
        <v>24.5</v>
      </c>
      <c r="E538" s="1">
        <v>14.59</v>
      </c>
      <c r="F538" s="5">
        <f t="shared" si="40"/>
        <v>45470.591678240744</v>
      </c>
      <c r="G538" s="3">
        <f t="shared" si="41"/>
        <v>6.7752213286412788E-2</v>
      </c>
      <c r="H538" s="3">
        <f t="shared" si="42"/>
        <v>1.6599292255171136E-2</v>
      </c>
      <c r="I538">
        <f t="shared" si="43"/>
        <v>14.531772970862525</v>
      </c>
      <c r="J538">
        <f t="shared" si="44"/>
        <v>11.544898271144636</v>
      </c>
      <c r="K538">
        <v>3.6900000000000001E-3</v>
      </c>
    </row>
    <row r="539" spans="1:11" ht="15" x14ac:dyDescent="0.25">
      <c r="A539" s="1" t="s">
        <v>5</v>
      </c>
      <c r="B539" s="1" t="s">
        <v>535</v>
      </c>
      <c r="C539" s="1">
        <v>38.200000000000003</v>
      </c>
      <c r="D539" s="1">
        <v>24.3</v>
      </c>
      <c r="E539" s="1">
        <v>14.3</v>
      </c>
      <c r="F539" s="5">
        <f t="shared" si="40"/>
        <v>45470.591909722221</v>
      </c>
      <c r="G539" s="3">
        <f t="shared" si="41"/>
        <v>6.7024544476633363E-2</v>
      </c>
      <c r="H539" s="3">
        <f t="shared" si="42"/>
        <v>1.6286964307821908E-2</v>
      </c>
      <c r="I539">
        <f t="shared" si="43"/>
        <v>14.240190032238097</v>
      </c>
      <c r="J539">
        <f t="shared" si="44"/>
        <v>11.334948968657553</v>
      </c>
      <c r="K539">
        <v>3.6410000000000001E-3</v>
      </c>
    </row>
    <row r="540" spans="1:11" ht="15" x14ac:dyDescent="0.25">
      <c r="A540" s="1" t="s">
        <v>5</v>
      </c>
      <c r="B540" s="1" t="s">
        <v>536</v>
      </c>
      <c r="C540" s="1">
        <v>38</v>
      </c>
      <c r="D540" s="1">
        <v>24.1</v>
      </c>
      <c r="E540" s="1">
        <v>14</v>
      </c>
      <c r="F540" s="5">
        <f t="shared" si="40"/>
        <v>45470.592141203706</v>
      </c>
      <c r="G540" s="3">
        <f t="shared" si="41"/>
        <v>6.6303643952936822E-2</v>
      </c>
      <c r="H540" s="3">
        <f t="shared" si="42"/>
        <v>1.5979178192657775E-2</v>
      </c>
      <c r="I540">
        <f t="shared" si="43"/>
        <v>13.947954178863133</v>
      </c>
      <c r="J540">
        <f t="shared" si="44"/>
        <v>11.127892695035161</v>
      </c>
      <c r="K540">
        <v>3.5639999999999999E-3</v>
      </c>
    </row>
    <row r="541" spans="1:11" ht="15" x14ac:dyDescent="0.25">
      <c r="A541" s="1" t="s">
        <v>5</v>
      </c>
      <c r="B541" s="1" t="s">
        <v>537</v>
      </c>
      <c r="C541" s="1">
        <v>37.799999999999997</v>
      </c>
      <c r="D541" s="1">
        <v>24.5</v>
      </c>
      <c r="E541" s="1">
        <v>14.09</v>
      </c>
      <c r="F541" s="5">
        <f t="shared" si="40"/>
        <v>45470.592372685183</v>
      </c>
      <c r="G541" s="3">
        <f t="shared" si="41"/>
        <v>6.5589459454599666E-2</v>
      </c>
      <c r="H541" s="3">
        <f t="shared" si="42"/>
        <v>1.6069417566376917E-2</v>
      </c>
      <c r="I541">
        <f t="shared" si="43"/>
        <v>14.034148113212888</v>
      </c>
      <c r="J541">
        <f t="shared" si="44"/>
        <v>11.197933126945868</v>
      </c>
      <c r="K541">
        <v>3.7130000000000002E-3</v>
      </c>
    </row>
    <row r="542" spans="1:11" ht="15" x14ac:dyDescent="0.25">
      <c r="A542" s="1" t="s">
        <v>5</v>
      </c>
      <c r="B542" s="1" t="s">
        <v>538</v>
      </c>
      <c r="C542" s="1">
        <v>37.700000000000003</v>
      </c>
      <c r="D542" s="1">
        <v>25</v>
      </c>
      <c r="E542" s="1">
        <v>14.32</v>
      </c>
      <c r="F542" s="5">
        <f t="shared" si="40"/>
        <v>45470.592604166668</v>
      </c>
      <c r="G542" s="3">
        <f t="shared" si="41"/>
        <v>6.5234869467865331E-2</v>
      </c>
      <c r="H542" s="3">
        <f t="shared" si="42"/>
        <v>1.6308717366966333E-2</v>
      </c>
      <c r="I542">
        <f t="shared" si="43"/>
        <v>14.260658218532297</v>
      </c>
      <c r="J542">
        <f t="shared" si="44"/>
        <v>11.368344593863458</v>
      </c>
      <c r="K542">
        <v>3.5690000000000001E-3</v>
      </c>
    </row>
    <row r="543" spans="1:11" ht="15" x14ac:dyDescent="0.25">
      <c r="A543" s="1" t="s">
        <v>5</v>
      </c>
      <c r="B543" s="1" t="s">
        <v>539</v>
      </c>
      <c r="C543" s="1">
        <v>37.6</v>
      </c>
      <c r="D543" s="1">
        <v>24.5</v>
      </c>
      <c r="E543" s="1">
        <v>13.92</v>
      </c>
      <c r="F543" s="5">
        <f t="shared" si="40"/>
        <v>45470.592835648145</v>
      </c>
      <c r="G543" s="3">
        <f t="shared" si="41"/>
        <v>6.4881939029452398E-2</v>
      </c>
      <c r="H543" s="3">
        <f t="shared" si="42"/>
        <v>1.5896075062215839E-2</v>
      </c>
      <c r="I543">
        <f t="shared" si="43"/>
        <v>13.86819377386761</v>
      </c>
      <c r="J543">
        <f t="shared" si="44"/>
        <v>11.084269133385462</v>
      </c>
      <c r="K543">
        <v>3.4880000000000002E-3</v>
      </c>
    </row>
    <row r="544" spans="1:11" ht="15" x14ac:dyDescent="0.25">
      <c r="A544" s="1" t="s">
        <v>5</v>
      </c>
      <c r="B544" s="1" t="s">
        <v>540</v>
      </c>
      <c r="C544" s="1">
        <v>37.4</v>
      </c>
      <c r="D544" s="1">
        <v>25.9</v>
      </c>
      <c r="E544" s="1">
        <v>14.61</v>
      </c>
      <c r="F544" s="5">
        <f t="shared" si="40"/>
        <v>45470.59306712963</v>
      </c>
      <c r="G544" s="3">
        <f t="shared" si="41"/>
        <v>6.4181031032771813E-2</v>
      </c>
      <c r="H544" s="3">
        <f t="shared" si="42"/>
        <v>1.6622887037487898E-2</v>
      </c>
      <c r="I544">
        <f t="shared" si="43"/>
        <v>14.553602373151103</v>
      </c>
      <c r="J544">
        <f t="shared" si="44"/>
        <v>11.598537064121128</v>
      </c>
      <c r="K544">
        <v>3.2959999999999999E-3</v>
      </c>
    </row>
    <row r="545" spans="1:11" ht="15" x14ac:dyDescent="0.25">
      <c r="A545" s="1" t="s">
        <v>5</v>
      </c>
      <c r="B545" s="1" t="s">
        <v>541</v>
      </c>
      <c r="C545" s="1">
        <v>37.4</v>
      </c>
      <c r="D545" s="1">
        <v>26</v>
      </c>
      <c r="E545" s="1">
        <v>14.67</v>
      </c>
      <c r="F545" s="5">
        <f t="shared" si="40"/>
        <v>45470.593298611115</v>
      </c>
      <c r="G545" s="3">
        <f t="shared" si="41"/>
        <v>6.4181031032771813E-2</v>
      </c>
      <c r="H545" s="3">
        <f t="shared" si="42"/>
        <v>1.6687068068520671E-2</v>
      </c>
      <c r="I545">
        <f t="shared" si="43"/>
        <v>14.612842594466526</v>
      </c>
      <c r="J545">
        <f t="shared" si="44"/>
        <v>11.643319060507697</v>
      </c>
      <c r="K545">
        <v>3.3519999999999999E-3</v>
      </c>
    </row>
    <row r="546" spans="1:11" ht="15" x14ac:dyDescent="0.25">
      <c r="A546" s="1" t="s">
        <v>5</v>
      </c>
      <c r="B546" s="1" t="s">
        <v>542</v>
      </c>
      <c r="C546" s="1">
        <v>37.200000000000003</v>
      </c>
      <c r="D546" s="1">
        <v>25.7</v>
      </c>
      <c r="E546" s="1">
        <v>14.32</v>
      </c>
      <c r="F546" s="5">
        <f t="shared" si="40"/>
        <v>45470.593530092592</v>
      </c>
      <c r="G546" s="3">
        <f t="shared" si="41"/>
        <v>6.3486684126173767E-2</v>
      </c>
      <c r="H546" s="3">
        <f t="shared" si="42"/>
        <v>1.6316077820426659E-2</v>
      </c>
      <c r="I546">
        <f t="shared" si="43"/>
        <v>14.267578434309414</v>
      </c>
      <c r="J546">
        <f t="shared" si="44"/>
        <v>11.39179898445952</v>
      </c>
      <c r="K546">
        <v>3.5620000000000001E-3</v>
      </c>
    </row>
    <row r="547" spans="1:11" ht="15" x14ac:dyDescent="0.25">
      <c r="A547" s="1" t="s">
        <v>5</v>
      </c>
      <c r="B547" s="1" t="s">
        <v>543</v>
      </c>
      <c r="C547" s="1">
        <v>37.1</v>
      </c>
      <c r="D547" s="1">
        <v>26.4</v>
      </c>
      <c r="E547" s="1">
        <v>14.66</v>
      </c>
      <c r="F547" s="5">
        <f t="shared" si="40"/>
        <v>45470.593761574077</v>
      </c>
      <c r="G547" s="3">
        <f t="shared" si="41"/>
        <v>6.3141955121902515E-2</v>
      </c>
      <c r="H547" s="3">
        <f t="shared" si="42"/>
        <v>1.6669476152182262E-2</v>
      </c>
      <c r="I547">
        <f t="shared" si="43"/>
        <v>14.596625076106667</v>
      </c>
      <c r="J547">
        <f t="shared" si="44"/>
        <v>11.642291167474777</v>
      </c>
      <c r="K547">
        <v>3.4480000000000001E-3</v>
      </c>
    </row>
    <row r="548" spans="1:11" ht="15" x14ac:dyDescent="0.25">
      <c r="A548" s="1" t="s">
        <v>5</v>
      </c>
      <c r="B548" s="1" t="s">
        <v>544</v>
      </c>
      <c r="C548" s="1">
        <v>37</v>
      </c>
      <c r="D548" s="1">
        <v>26.4</v>
      </c>
      <c r="E548" s="1">
        <v>14.57</v>
      </c>
      <c r="F548" s="5">
        <f t="shared" si="40"/>
        <v>45470.593993055554</v>
      </c>
      <c r="G548" s="3">
        <f t="shared" si="41"/>
        <v>6.279884727650506E-2</v>
      </c>
      <c r="H548" s="3">
        <f t="shared" si="42"/>
        <v>1.6578895680997335E-2</v>
      </c>
      <c r="I548">
        <f t="shared" si="43"/>
        <v>14.512880296583063</v>
      </c>
      <c r="J548">
        <f t="shared" si="44"/>
        <v>11.582761342367514</v>
      </c>
      <c r="K548">
        <v>3.5279999999999999E-3</v>
      </c>
    </row>
    <row r="549" spans="1:11" ht="15" x14ac:dyDescent="0.25">
      <c r="A549" s="1" t="s">
        <v>5</v>
      </c>
      <c r="B549" s="1" t="s">
        <v>545</v>
      </c>
      <c r="C549" s="1">
        <v>36.9</v>
      </c>
      <c r="D549" s="1">
        <v>26.2</v>
      </c>
      <c r="E549" s="1">
        <v>14.37</v>
      </c>
      <c r="F549" s="5">
        <f t="shared" si="40"/>
        <v>45470.594224537039</v>
      </c>
      <c r="G549" s="3">
        <f t="shared" si="41"/>
        <v>6.24573542583476E-2</v>
      </c>
      <c r="H549" s="3">
        <f t="shared" si="42"/>
        <v>1.6363826815687071E-2</v>
      </c>
      <c r="I549">
        <f t="shared" si="43"/>
        <v>14.312404375188835</v>
      </c>
      <c r="J549">
        <f t="shared" si="44"/>
        <v>11.43619188090068</v>
      </c>
      <c r="K549">
        <v>3.5899999999999999E-3</v>
      </c>
    </row>
    <row r="550" spans="1:11" ht="15" x14ac:dyDescent="0.25">
      <c r="A550" s="1" t="s">
        <v>5</v>
      </c>
      <c r="B550" s="1" t="s">
        <v>546</v>
      </c>
      <c r="C550" s="1">
        <v>36.700000000000003</v>
      </c>
      <c r="D550" s="1">
        <v>26.7</v>
      </c>
      <c r="E550" s="1">
        <v>14.49</v>
      </c>
      <c r="F550" s="5">
        <f t="shared" si="40"/>
        <v>45470.594456018516</v>
      </c>
      <c r="G550" s="3">
        <f t="shared" si="41"/>
        <v>6.1779187471875115E-2</v>
      </c>
      <c r="H550" s="3">
        <f t="shared" si="42"/>
        <v>1.6495043054990655E-2</v>
      </c>
      <c r="I550">
        <f t="shared" si="43"/>
        <v>14.434993156518134</v>
      </c>
      <c r="J550">
        <f t="shared" si="44"/>
        <v>11.535335960094386</v>
      </c>
      <c r="K550">
        <v>3.4710000000000001E-3</v>
      </c>
    </row>
    <row r="551" spans="1:11" ht="15" x14ac:dyDescent="0.25">
      <c r="A551" s="1" t="s">
        <v>5</v>
      </c>
      <c r="B551" s="1" t="s">
        <v>547</v>
      </c>
      <c r="C551" s="1">
        <v>36.700000000000003</v>
      </c>
      <c r="D551" s="1">
        <v>26.6</v>
      </c>
      <c r="E551" s="1">
        <v>14.44</v>
      </c>
      <c r="F551" s="5">
        <f t="shared" si="40"/>
        <v>45470.594687500001</v>
      </c>
      <c r="G551" s="3">
        <f t="shared" si="41"/>
        <v>6.1779187471875115E-2</v>
      </c>
      <c r="H551" s="3">
        <f t="shared" si="42"/>
        <v>1.6433263867518783E-2</v>
      </c>
      <c r="I551">
        <f t="shared" si="43"/>
        <v>14.377384107827714</v>
      </c>
      <c r="J551">
        <f t="shared" si="44"/>
        <v>11.492132454625869</v>
      </c>
      <c r="K551">
        <v>3.5890000000000002E-3</v>
      </c>
    </row>
    <row r="552" spans="1:11" ht="15" x14ac:dyDescent="0.25">
      <c r="A552" s="1" t="s">
        <v>5</v>
      </c>
      <c r="B552" s="1" t="s">
        <v>548</v>
      </c>
      <c r="C552" s="1">
        <v>36.6</v>
      </c>
      <c r="D552" s="1">
        <v>26.9</v>
      </c>
      <c r="E552" s="1">
        <v>14.52</v>
      </c>
      <c r="F552" s="5">
        <f t="shared" si="40"/>
        <v>45470.594918981478</v>
      </c>
      <c r="G552" s="3">
        <f t="shared" si="41"/>
        <v>6.1442501134845624E-2</v>
      </c>
      <c r="H552" s="3">
        <f t="shared" si="42"/>
        <v>1.6528032805273471E-2</v>
      </c>
      <c r="I552">
        <f t="shared" si="43"/>
        <v>14.465677741738331</v>
      </c>
      <c r="J552">
        <f t="shared" si="44"/>
        <v>11.562137924652459</v>
      </c>
      <c r="K552">
        <v>3.62E-3</v>
      </c>
    </row>
    <row r="553" spans="1:11" ht="15" x14ac:dyDescent="0.25">
      <c r="A553" s="1" t="s">
        <v>5</v>
      </c>
      <c r="B553" s="1" t="s">
        <v>549</v>
      </c>
      <c r="C553" s="1">
        <v>36.6</v>
      </c>
      <c r="D553" s="1">
        <v>26.6</v>
      </c>
      <c r="E553" s="1">
        <v>14.35</v>
      </c>
      <c r="F553" s="5">
        <f t="shared" si="40"/>
        <v>45470.595150462963</v>
      </c>
      <c r="G553" s="3">
        <f t="shared" si="41"/>
        <v>6.1442501134845624E-2</v>
      </c>
      <c r="H553" s="3">
        <f t="shared" si="42"/>
        <v>1.6343705301868936E-2</v>
      </c>
      <c r="I553">
        <f t="shared" si="43"/>
        <v>14.293528804107128</v>
      </c>
      <c r="J553">
        <f t="shared" si="44"/>
        <v>11.433192148541094</v>
      </c>
      <c r="K553">
        <v>3.5469999999999998E-3</v>
      </c>
    </row>
    <row r="554" spans="1:11" ht="15" x14ac:dyDescent="0.25">
      <c r="A554" s="1" t="s">
        <v>5</v>
      </c>
      <c r="B554" s="1" t="s">
        <v>550</v>
      </c>
      <c r="C554" s="1">
        <v>36.4</v>
      </c>
      <c r="D554" s="1">
        <v>26.4</v>
      </c>
      <c r="E554" s="1">
        <v>14.07</v>
      </c>
      <c r="F554" s="5">
        <f t="shared" si="40"/>
        <v>45470.595381944448</v>
      </c>
      <c r="G554" s="3">
        <f t="shared" si="41"/>
        <v>6.0773891292723765E-2</v>
      </c>
      <c r="H554" s="3">
        <f t="shared" si="42"/>
        <v>1.6044307301279072E-2</v>
      </c>
      <c r="I554">
        <f t="shared" si="43"/>
        <v>14.010206747900623</v>
      </c>
      <c r="J554">
        <f t="shared" si="44"/>
        <v>11.231000791369343</v>
      </c>
      <c r="K554">
        <v>3.591E-3</v>
      </c>
    </row>
    <row r="555" spans="1:11" ht="15" x14ac:dyDescent="0.25">
      <c r="A555" s="1" t="s">
        <v>5</v>
      </c>
      <c r="B555" s="1" t="s">
        <v>551</v>
      </c>
      <c r="C555" s="1">
        <v>36.4</v>
      </c>
      <c r="D555" s="1">
        <v>26.4</v>
      </c>
      <c r="E555" s="1">
        <v>14.07</v>
      </c>
      <c r="F555" s="5">
        <f t="shared" si="40"/>
        <v>45470.595613425925</v>
      </c>
      <c r="G555" s="3">
        <f t="shared" si="41"/>
        <v>6.0773891292723765E-2</v>
      </c>
      <c r="H555" s="3">
        <f t="shared" si="42"/>
        <v>1.6044307301279072E-2</v>
      </c>
      <c r="I555">
        <f t="shared" si="43"/>
        <v>14.010206747900623</v>
      </c>
      <c r="J555">
        <f t="shared" si="44"/>
        <v>11.231000791369343</v>
      </c>
      <c r="K555">
        <v>3.4659999999999999E-3</v>
      </c>
    </row>
    <row r="556" spans="1:11" ht="15" x14ac:dyDescent="0.25">
      <c r="A556" s="1" t="s">
        <v>5</v>
      </c>
      <c r="B556" s="1" t="s">
        <v>552</v>
      </c>
      <c r="C556" s="1">
        <v>36.299999999999997</v>
      </c>
      <c r="D556" s="1">
        <v>26.2</v>
      </c>
      <c r="E556" s="1">
        <v>13.86</v>
      </c>
      <c r="F556" s="5">
        <f t="shared" si="40"/>
        <v>45470.59584490741</v>
      </c>
      <c r="G556" s="3">
        <f t="shared" si="41"/>
        <v>6.0441955331818828E-2</v>
      </c>
      <c r="H556" s="3">
        <f t="shared" si="42"/>
        <v>1.5835792296936532E-2</v>
      </c>
      <c r="I556">
        <f t="shared" si="43"/>
        <v>13.810103986476426</v>
      </c>
      <c r="J556">
        <f t="shared" si="44"/>
        <v>11.088622649408588</v>
      </c>
      <c r="K556">
        <v>3.545E-3</v>
      </c>
    </row>
    <row r="557" spans="1:11" ht="15" x14ac:dyDescent="0.25">
      <c r="A557" s="1" t="s">
        <v>5</v>
      </c>
      <c r="B557" s="1" t="s">
        <v>553</v>
      </c>
      <c r="C557" s="1">
        <v>36.200000000000003</v>
      </c>
      <c r="D557" s="1">
        <v>26.4</v>
      </c>
      <c r="E557" s="1">
        <v>13.9</v>
      </c>
      <c r="F557" s="5">
        <f t="shared" si="40"/>
        <v>45470.596076388887</v>
      </c>
      <c r="G557" s="3">
        <f t="shared" si="41"/>
        <v>6.0111590405049813E-2</v>
      </c>
      <c r="H557" s="3">
        <f t="shared" si="42"/>
        <v>1.5869459866933149E-2</v>
      </c>
      <c r="I557">
        <f t="shared" si="43"/>
        <v>13.842570928774382</v>
      </c>
      <c r="J557">
        <f t="shared" si="44"/>
        <v>11.115789645911629</v>
      </c>
      <c r="K557">
        <v>3.5959999999999998E-3</v>
      </c>
    </row>
    <row r="558" spans="1:11" ht="15" x14ac:dyDescent="0.25">
      <c r="A558" s="1" t="s">
        <v>5</v>
      </c>
      <c r="B558" s="1" t="s">
        <v>554</v>
      </c>
      <c r="C558" s="1">
        <v>36.1</v>
      </c>
      <c r="D558" s="1">
        <v>26</v>
      </c>
      <c r="E558" s="1">
        <v>13.58</v>
      </c>
      <c r="F558" s="5">
        <f t="shared" si="40"/>
        <v>45470.596307870372</v>
      </c>
      <c r="G558" s="3">
        <f t="shared" si="41"/>
        <v>5.9782790331318655E-2</v>
      </c>
      <c r="H558" s="3">
        <f t="shared" si="42"/>
        <v>1.5543525486142851E-2</v>
      </c>
      <c r="I558">
        <f t="shared" si="43"/>
        <v>13.525657205072498</v>
      </c>
      <c r="J558">
        <f t="shared" si="44"/>
        <v>10.891008975612268</v>
      </c>
      <c r="K558">
        <v>3.6219999999999998E-3</v>
      </c>
    </row>
    <row r="559" spans="1:11" ht="15" x14ac:dyDescent="0.25">
      <c r="A559" s="1" t="s">
        <v>5</v>
      </c>
      <c r="B559" s="1" t="s">
        <v>555</v>
      </c>
      <c r="C559" s="1">
        <v>36.1</v>
      </c>
      <c r="D559" s="1">
        <v>26</v>
      </c>
      <c r="E559" s="1">
        <v>13.58</v>
      </c>
      <c r="F559" s="5">
        <f t="shared" si="40"/>
        <v>45470.596539351849</v>
      </c>
      <c r="G559" s="3">
        <f t="shared" si="41"/>
        <v>5.9782790331318655E-2</v>
      </c>
      <c r="H559" s="3">
        <f t="shared" si="42"/>
        <v>1.5543525486142851E-2</v>
      </c>
      <c r="I559">
        <f t="shared" si="43"/>
        <v>13.525657205072498</v>
      </c>
      <c r="J559">
        <f t="shared" si="44"/>
        <v>10.891008975612268</v>
      </c>
      <c r="K559">
        <v>3.3739999999999998E-3</v>
      </c>
    </row>
    <row r="560" spans="1:11" ht="15" x14ac:dyDescent="0.25">
      <c r="A560" s="1" t="s">
        <v>5</v>
      </c>
      <c r="B560" s="1" t="s">
        <v>556</v>
      </c>
      <c r="C560" s="1">
        <v>36</v>
      </c>
      <c r="D560" s="1">
        <v>27.2</v>
      </c>
      <c r="E560" s="1">
        <v>14.19</v>
      </c>
      <c r="F560" s="5">
        <f t="shared" si="40"/>
        <v>45470.596770833334</v>
      </c>
      <c r="G560" s="3">
        <f t="shared" si="41"/>
        <v>5.9455548948188303E-2</v>
      </c>
      <c r="H560" s="3">
        <f t="shared" si="42"/>
        <v>1.6171909313907218E-2</v>
      </c>
      <c r="I560">
        <f t="shared" si="43"/>
        <v>14.131525907735565</v>
      </c>
      <c r="J560">
        <f t="shared" si="44"/>
        <v>11.334969114739499</v>
      </c>
      <c r="K560">
        <v>3.4480000000000001E-3</v>
      </c>
    </row>
    <row r="561" spans="1:11" ht="15" x14ac:dyDescent="0.25">
      <c r="A561" s="1" t="s">
        <v>5</v>
      </c>
      <c r="B561" s="1" t="s">
        <v>557</v>
      </c>
      <c r="C561" s="1">
        <v>35.9</v>
      </c>
      <c r="D561" s="1">
        <v>26.2</v>
      </c>
      <c r="E561" s="1">
        <v>13.53</v>
      </c>
      <c r="F561" s="5">
        <f t="shared" si="40"/>
        <v>45470.597002314818</v>
      </c>
      <c r="G561" s="3">
        <f t="shared" si="41"/>
        <v>5.9129860111847753E-2</v>
      </c>
      <c r="H561" s="3">
        <f t="shared" si="42"/>
        <v>1.5492023349304112E-2</v>
      </c>
      <c r="I561">
        <f t="shared" si="43"/>
        <v>13.475041966300305</v>
      </c>
      <c r="J561">
        <f t="shared" si="44"/>
        <v>10.861947255835117</v>
      </c>
      <c r="K561">
        <v>3.519E-3</v>
      </c>
    </row>
    <row r="562" spans="1:11" ht="15" x14ac:dyDescent="0.25">
      <c r="A562" s="1" t="s">
        <v>5</v>
      </c>
      <c r="B562" s="1" t="s">
        <v>558</v>
      </c>
      <c r="C562" s="1">
        <v>35.9</v>
      </c>
      <c r="D562" s="1">
        <v>25.9</v>
      </c>
      <c r="E562" s="1">
        <v>13.35</v>
      </c>
      <c r="F562" s="5">
        <f t="shared" si="40"/>
        <v>45470.597233796296</v>
      </c>
      <c r="G562" s="3">
        <f t="shared" si="41"/>
        <v>5.9129860111847753E-2</v>
      </c>
      <c r="H562" s="3">
        <f t="shared" si="42"/>
        <v>1.5314633768968567E-2</v>
      </c>
      <c r="I562">
        <f t="shared" si="43"/>
        <v>13.299556778494226</v>
      </c>
      <c r="J562">
        <f t="shared" si="44"/>
        <v>10.737573813974409</v>
      </c>
      <c r="K562">
        <v>3.4220000000000001E-3</v>
      </c>
    </row>
    <row r="563" spans="1:11" ht="15" x14ac:dyDescent="0.25">
      <c r="A563" s="1" t="s">
        <v>5</v>
      </c>
      <c r="B563" s="1" t="s">
        <v>559</v>
      </c>
      <c r="C563" s="1">
        <v>35.9</v>
      </c>
      <c r="D563" s="1">
        <v>26</v>
      </c>
      <c r="E563" s="1">
        <v>13.41</v>
      </c>
      <c r="F563" s="5">
        <f t="shared" si="40"/>
        <v>45470.59746527778</v>
      </c>
      <c r="G563" s="3">
        <f t="shared" si="41"/>
        <v>5.9129860111847753E-2</v>
      </c>
      <c r="H563" s="3">
        <f t="shared" si="42"/>
        <v>1.5373763629080415E-2</v>
      </c>
      <c r="I563">
        <f t="shared" si="43"/>
        <v>13.358251337240949</v>
      </c>
      <c r="J563">
        <f t="shared" si="44"/>
        <v>10.779031627927978</v>
      </c>
      <c r="K563">
        <v>3.4039999999999999E-3</v>
      </c>
    </row>
    <row r="564" spans="1:11" ht="15" x14ac:dyDescent="0.25">
      <c r="A564" s="1" t="s">
        <v>5</v>
      </c>
      <c r="B564" s="1" t="s">
        <v>560</v>
      </c>
      <c r="C564" s="1">
        <v>35.799999999999997</v>
      </c>
      <c r="D564" s="1">
        <v>26</v>
      </c>
      <c r="E564" s="1">
        <v>13.32</v>
      </c>
      <c r="F564" s="5">
        <f t="shared" si="40"/>
        <v>45470.597696759258</v>
      </c>
      <c r="G564" s="3">
        <f t="shared" si="41"/>
        <v>5.8805717697077389E-2</v>
      </c>
      <c r="H564" s="3">
        <f t="shared" si="42"/>
        <v>1.5289486601240122E-2</v>
      </c>
      <c r="I564">
        <f t="shared" si="43"/>
        <v>13.274533771060517</v>
      </c>
      <c r="J564">
        <f t="shared" si="44"/>
        <v>10.723412138265209</v>
      </c>
      <c r="K564">
        <v>3.5699999999999998E-3</v>
      </c>
    </row>
    <row r="565" spans="1:11" ht="15" x14ac:dyDescent="0.25">
      <c r="A565" s="1" t="s">
        <v>5</v>
      </c>
      <c r="B565" s="1" t="s">
        <v>561</v>
      </c>
      <c r="C565" s="1">
        <v>35.700000000000003</v>
      </c>
      <c r="D565" s="1">
        <v>26.2</v>
      </c>
      <c r="E565" s="1">
        <v>13.36</v>
      </c>
      <c r="F565" s="5">
        <f t="shared" si="40"/>
        <v>45470.597928240742</v>
      </c>
      <c r="G565" s="3">
        <f t="shared" si="41"/>
        <v>5.8483115597214426E-2</v>
      </c>
      <c r="H565" s="3">
        <f t="shared" si="42"/>
        <v>1.532257628647018E-2</v>
      </c>
      <c r="I565">
        <f t="shared" si="43"/>
        <v>13.30745250454115</v>
      </c>
      <c r="J565">
        <f t="shared" si="44"/>
        <v>10.750099431501777</v>
      </c>
      <c r="K565">
        <v>3.2889999999999998E-3</v>
      </c>
    </row>
    <row r="566" spans="1:11" ht="15" x14ac:dyDescent="0.25">
      <c r="A566" s="1" t="s">
        <v>5</v>
      </c>
      <c r="B566" s="1" t="s">
        <v>562</v>
      </c>
      <c r="C566" s="1">
        <v>35.700000000000003</v>
      </c>
      <c r="D566" s="1">
        <v>25.9</v>
      </c>
      <c r="E566" s="1">
        <v>13.18</v>
      </c>
      <c r="F566" s="5">
        <f t="shared" si="40"/>
        <v>45470.59815972222</v>
      </c>
      <c r="G566" s="3">
        <f t="shared" si="41"/>
        <v>5.8483115597214426E-2</v>
      </c>
      <c r="H566" s="3">
        <f t="shared" si="42"/>
        <v>1.5147126939678535E-2</v>
      </c>
      <c r="I566">
        <f t="shared" si="43"/>
        <v>13.132184531844048</v>
      </c>
      <c r="J566">
        <f t="shared" si="44"/>
        <v>10.627006689919694</v>
      </c>
      <c r="K566">
        <v>3.3639999999999998E-3</v>
      </c>
    </row>
    <row r="567" spans="1:11" ht="15" x14ac:dyDescent="0.25">
      <c r="A567" s="1" t="s">
        <v>5</v>
      </c>
      <c r="B567" s="1" t="s">
        <v>563</v>
      </c>
      <c r="C567" s="1">
        <v>35.6</v>
      </c>
      <c r="D567" s="1">
        <v>26.4</v>
      </c>
      <c r="E567" s="1">
        <v>13.39</v>
      </c>
      <c r="F567" s="5">
        <f t="shared" si="40"/>
        <v>45470.598391203705</v>
      </c>
      <c r="G567" s="3">
        <f t="shared" si="41"/>
        <v>5.8162047724117934E-2</v>
      </c>
      <c r="H567" s="3">
        <f t="shared" si="42"/>
        <v>1.5354780599167133E-2</v>
      </c>
      <c r="I567">
        <f t="shared" si="43"/>
        <v>13.339429921372581</v>
      </c>
      <c r="J567">
        <f t="shared" si="44"/>
        <v>10.776182646214997</v>
      </c>
      <c r="K567">
        <v>3.4529999999999999E-3</v>
      </c>
    </row>
    <row r="568" spans="1:11" ht="15" x14ac:dyDescent="0.25">
      <c r="A568" s="1" t="s">
        <v>5</v>
      </c>
      <c r="B568" s="1" t="s">
        <v>564</v>
      </c>
      <c r="C568" s="1">
        <v>35.6</v>
      </c>
      <c r="D568" s="1">
        <v>26.4</v>
      </c>
      <c r="E568" s="1">
        <v>13.39</v>
      </c>
      <c r="F568" s="5">
        <f t="shared" si="40"/>
        <v>45470.598622685182</v>
      </c>
      <c r="G568" s="3">
        <f t="shared" si="41"/>
        <v>5.8162047724117934E-2</v>
      </c>
      <c r="H568" s="3">
        <f t="shared" si="42"/>
        <v>1.5354780599167133E-2</v>
      </c>
      <c r="I568">
        <f t="shared" si="43"/>
        <v>13.339429921372581</v>
      </c>
      <c r="J568">
        <f t="shared" si="44"/>
        <v>10.776182646214997</v>
      </c>
      <c r="K568">
        <v>3.5140000000000002E-3</v>
      </c>
    </row>
    <row r="569" spans="1:11" ht="15" x14ac:dyDescent="0.25">
      <c r="A569" s="1" t="s">
        <v>5</v>
      </c>
      <c r="B569" s="1" t="s">
        <v>565</v>
      </c>
      <c r="C569" s="1">
        <v>35.6</v>
      </c>
      <c r="D569" s="1">
        <v>26.4</v>
      </c>
      <c r="E569" s="1">
        <v>13.39</v>
      </c>
      <c r="F569" s="5">
        <f t="shared" si="40"/>
        <v>45470.598854166667</v>
      </c>
      <c r="G569" s="3">
        <f t="shared" si="41"/>
        <v>5.8162047724117934E-2</v>
      </c>
      <c r="H569" s="3">
        <f t="shared" si="42"/>
        <v>1.5354780599167133E-2</v>
      </c>
      <c r="I569">
        <f t="shared" si="43"/>
        <v>13.339429921372581</v>
      </c>
      <c r="J569">
        <f t="shared" si="44"/>
        <v>10.776182646214997</v>
      </c>
      <c r="K569">
        <v>3.1719999999999999E-3</v>
      </c>
    </row>
    <row r="570" spans="1:11" ht="15" x14ac:dyDescent="0.25">
      <c r="A570" s="1" t="s">
        <v>5</v>
      </c>
      <c r="B570" s="1" t="s">
        <v>566</v>
      </c>
      <c r="C570" s="1">
        <v>35.6</v>
      </c>
      <c r="D570" s="1">
        <v>26</v>
      </c>
      <c r="E570" s="1">
        <v>13.16</v>
      </c>
      <c r="F570" s="5">
        <f t="shared" si="40"/>
        <v>45470.599085648151</v>
      </c>
      <c r="G570" s="3">
        <f t="shared" si="41"/>
        <v>5.8162047724117934E-2</v>
      </c>
      <c r="H570" s="3">
        <f t="shared" si="42"/>
        <v>1.5122132408270664E-2</v>
      </c>
      <c r="I570">
        <f t="shared" si="43"/>
        <v>13.107069390107883</v>
      </c>
      <c r="J570">
        <f t="shared" si="44"/>
        <v>10.612907151575378</v>
      </c>
      <c r="K570">
        <v>3.2290000000000001E-3</v>
      </c>
    </row>
    <row r="571" spans="1:11" ht="15" x14ac:dyDescent="0.25">
      <c r="A571" s="1" t="s">
        <v>5</v>
      </c>
      <c r="B571" s="1" t="s">
        <v>567</v>
      </c>
      <c r="C571" s="1">
        <v>35.6</v>
      </c>
      <c r="D571" s="1">
        <v>26.2</v>
      </c>
      <c r="E571" s="1">
        <v>13.27</v>
      </c>
      <c r="F571" s="5">
        <f t="shared" si="40"/>
        <v>45470.599317129629</v>
      </c>
      <c r="G571" s="3">
        <f t="shared" si="41"/>
        <v>5.8162047724117934E-2</v>
      </c>
      <c r="H571" s="3">
        <f t="shared" si="42"/>
        <v>1.5238456503718897E-2</v>
      </c>
      <c r="I571">
        <f t="shared" si="43"/>
        <v>13.223643171935867</v>
      </c>
      <c r="J571">
        <f t="shared" si="44"/>
        <v>10.694544898895188</v>
      </c>
      <c r="K571">
        <v>3.3040000000000001E-3</v>
      </c>
    </row>
    <row r="572" spans="1:11" ht="15" x14ac:dyDescent="0.25">
      <c r="A572" s="1" t="s">
        <v>5</v>
      </c>
      <c r="B572" s="1" t="s">
        <v>568</v>
      </c>
      <c r="C572" s="1">
        <v>35.5</v>
      </c>
      <c r="D572" s="1">
        <v>25.9</v>
      </c>
      <c r="E572" s="1">
        <v>13.01</v>
      </c>
      <c r="F572" s="5">
        <f t="shared" si="40"/>
        <v>45470.599548611113</v>
      </c>
      <c r="G572" s="3">
        <f t="shared" si="41"/>
        <v>5.7842508008134327E-2</v>
      </c>
      <c r="H572" s="3">
        <f t="shared" si="42"/>
        <v>1.498120957410679E-2</v>
      </c>
      <c r="I572">
        <f t="shared" si="43"/>
        <v>12.964773267511298</v>
      </c>
      <c r="J572">
        <f t="shared" si="44"/>
        <v>10.517412142106842</v>
      </c>
      <c r="K572">
        <v>3.3349999999999999E-3</v>
      </c>
    </row>
    <row r="573" spans="1:11" ht="15" x14ac:dyDescent="0.25">
      <c r="A573" s="1" t="s">
        <v>5</v>
      </c>
      <c r="B573" s="1" t="s">
        <v>569</v>
      </c>
      <c r="C573" s="1">
        <v>35.4</v>
      </c>
      <c r="D573" s="1">
        <v>26</v>
      </c>
      <c r="E573" s="1">
        <v>12.99</v>
      </c>
      <c r="F573" s="5">
        <f t="shared" si="40"/>
        <v>45470.599780092591</v>
      </c>
      <c r="G573" s="3">
        <f t="shared" si="41"/>
        <v>5.752449039806256E-2</v>
      </c>
      <c r="H573" s="3">
        <f t="shared" si="42"/>
        <v>1.4956367503496265E-2</v>
      </c>
      <c r="I573">
        <f t="shared" si="43"/>
        <v>12.939566032298822</v>
      </c>
      <c r="J573">
        <f t="shared" si="44"/>
        <v>10.503375013625764</v>
      </c>
      <c r="K573">
        <v>3.4169999999999999E-3</v>
      </c>
    </row>
    <row r="574" spans="1:11" ht="15" x14ac:dyDescent="0.25">
      <c r="A574" s="1" t="s">
        <v>5</v>
      </c>
      <c r="B574" s="1" t="s">
        <v>570</v>
      </c>
      <c r="C574" s="1">
        <v>35.4</v>
      </c>
      <c r="D574" s="1">
        <v>25.3</v>
      </c>
      <c r="E574" s="1">
        <v>12.57</v>
      </c>
      <c r="F574" s="5">
        <f t="shared" si="40"/>
        <v>45470.600011574075</v>
      </c>
      <c r="G574" s="3">
        <f t="shared" si="41"/>
        <v>5.752449039806256E-2</v>
      </c>
      <c r="H574" s="3">
        <f t="shared" si="42"/>
        <v>1.4553696070709827E-2</v>
      </c>
      <c r="I574">
        <f t="shared" si="43"/>
        <v>12.525704500703162</v>
      </c>
      <c r="J574">
        <f t="shared" si="44"/>
        <v>10.220591840181992</v>
      </c>
      <c r="K574">
        <v>3.3449999999999999E-3</v>
      </c>
    </row>
    <row r="575" spans="1:11" ht="15" x14ac:dyDescent="0.25">
      <c r="A575" s="1" t="s">
        <v>5</v>
      </c>
      <c r="B575" s="1" t="s">
        <v>571</v>
      </c>
      <c r="C575" s="1">
        <v>35.4</v>
      </c>
      <c r="D575" s="1">
        <v>25.3</v>
      </c>
      <c r="E575" s="1">
        <v>12.57</v>
      </c>
      <c r="F575" s="5">
        <f t="shared" si="40"/>
        <v>45470.600243055553</v>
      </c>
      <c r="G575" s="3">
        <f t="shared" si="41"/>
        <v>5.752449039806256E-2</v>
      </c>
      <c r="H575" s="3">
        <f t="shared" si="42"/>
        <v>1.4553696070709827E-2</v>
      </c>
      <c r="I575">
        <f t="shared" si="43"/>
        <v>12.525704500703162</v>
      </c>
      <c r="J575">
        <f t="shared" si="44"/>
        <v>10.220591840181992</v>
      </c>
      <c r="K575">
        <v>3.0720000000000001E-3</v>
      </c>
    </row>
    <row r="576" spans="1:11" ht="15" x14ac:dyDescent="0.25">
      <c r="A576" s="1" t="s">
        <v>5</v>
      </c>
      <c r="B576" s="1" t="s">
        <v>572</v>
      </c>
      <c r="C576" s="1">
        <v>35.4</v>
      </c>
      <c r="D576" s="1">
        <v>26</v>
      </c>
      <c r="E576" s="1">
        <v>12.99</v>
      </c>
      <c r="F576" s="5">
        <f t="shared" si="40"/>
        <v>45470.600474537037</v>
      </c>
      <c r="G576" s="3">
        <f t="shared" si="41"/>
        <v>5.752449039806256E-2</v>
      </c>
      <c r="H576" s="3">
        <f t="shared" si="42"/>
        <v>1.4956367503496265E-2</v>
      </c>
      <c r="I576">
        <f t="shared" si="43"/>
        <v>12.939566032298822</v>
      </c>
      <c r="J576">
        <f t="shared" si="44"/>
        <v>10.503375013625764</v>
      </c>
      <c r="K576">
        <v>3.117E-3</v>
      </c>
    </row>
    <row r="577" spans="1:11" ht="15" x14ac:dyDescent="0.25">
      <c r="A577" s="1" t="s">
        <v>5</v>
      </c>
      <c r="B577" s="1" t="s">
        <v>573</v>
      </c>
      <c r="C577" s="1">
        <v>35.299999999999997</v>
      </c>
      <c r="D577" s="1">
        <v>26</v>
      </c>
      <c r="E577" s="1">
        <v>12.9</v>
      </c>
      <c r="F577" s="5">
        <f t="shared" si="40"/>
        <v>45470.600706018522</v>
      </c>
      <c r="G577" s="3">
        <f t="shared" si="41"/>
        <v>5.7207988861119281E-2</v>
      </c>
      <c r="H577" s="3">
        <f t="shared" si="42"/>
        <v>1.4874077103891013E-2</v>
      </c>
      <c r="I577">
        <f t="shared" si="43"/>
        <v>12.855799745052975</v>
      </c>
      <c r="J577">
        <f t="shared" si="44"/>
        <v>10.448971593290265</v>
      </c>
      <c r="K577">
        <v>3.124E-3</v>
      </c>
    </row>
    <row r="578" spans="1:11" ht="15" x14ac:dyDescent="0.25">
      <c r="A578" s="1" t="s">
        <v>5</v>
      </c>
      <c r="B578" s="1" t="s">
        <v>574</v>
      </c>
      <c r="C578" s="1">
        <v>35.299999999999997</v>
      </c>
      <c r="D578" s="1">
        <v>25.3</v>
      </c>
      <c r="E578" s="1">
        <v>12.49</v>
      </c>
      <c r="F578" s="5">
        <f t="shared" si="40"/>
        <v>45470.600937499999</v>
      </c>
      <c r="G578" s="3">
        <f t="shared" si="41"/>
        <v>5.7207988861119281E-2</v>
      </c>
      <c r="H578" s="3">
        <f t="shared" si="42"/>
        <v>1.4473621181863178E-2</v>
      </c>
      <c r="I578">
        <f t="shared" si="43"/>
        <v>12.442194698780801</v>
      </c>
      <c r="J578">
        <f t="shared" si="44"/>
        <v>10.167653127317067</v>
      </c>
      <c r="K578">
        <v>3.2160000000000001E-3</v>
      </c>
    </row>
    <row r="579" spans="1:11" ht="15" x14ac:dyDescent="0.25">
      <c r="A579" s="1" t="s">
        <v>5</v>
      </c>
      <c r="B579" s="1" t="s">
        <v>575</v>
      </c>
      <c r="C579" s="1">
        <v>35.299999999999997</v>
      </c>
      <c r="D579" s="1">
        <v>25.3</v>
      </c>
      <c r="E579" s="1">
        <v>12.49</v>
      </c>
      <c r="F579" s="5">
        <f t="shared" si="40"/>
        <v>45470.601168981484</v>
      </c>
      <c r="G579" s="3">
        <f t="shared" si="41"/>
        <v>5.7207988861119281E-2</v>
      </c>
      <c r="H579" s="3">
        <f t="shared" si="42"/>
        <v>1.4473621181863178E-2</v>
      </c>
      <c r="I579">
        <f t="shared" si="43"/>
        <v>12.442194698780801</v>
      </c>
      <c r="J579">
        <f t="shared" si="44"/>
        <v>10.167653127317067</v>
      </c>
      <c r="K579">
        <v>3.1099999999999999E-3</v>
      </c>
    </row>
    <row r="580" spans="1:11" ht="15" x14ac:dyDescent="0.25">
      <c r="A580" s="1" t="s">
        <v>5</v>
      </c>
      <c r="B580" s="1" t="s">
        <v>576</v>
      </c>
      <c r="C580" s="1">
        <v>35.299999999999997</v>
      </c>
      <c r="D580" s="1">
        <v>25.2</v>
      </c>
      <c r="E580" s="1">
        <v>12.43</v>
      </c>
      <c r="F580" s="5">
        <f t="shared" si="40"/>
        <v>45470.601400462961</v>
      </c>
      <c r="G580" s="3">
        <f t="shared" si="41"/>
        <v>5.7207988861119281E-2</v>
      </c>
      <c r="H580" s="3">
        <f t="shared" si="42"/>
        <v>1.4416413193002058E-2</v>
      </c>
      <c r="I580">
        <f t="shared" si="43"/>
        <v>12.382281148819152</v>
      </c>
      <c r="J580">
        <f t="shared" si="44"/>
        <v>10.127464775035179</v>
      </c>
      <c r="K580">
        <v>3.1250000000000002E-3</v>
      </c>
    </row>
    <row r="581" spans="1:11" ht="15" x14ac:dyDescent="0.25">
      <c r="A581" s="1" t="s">
        <v>5</v>
      </c>
      <c r="B581" s="1" t="s">
        <v>577</v>
      </c>
      <c r="C581" s="1">
        <v>35.299999999999997</v>
      </c>
      <c r="D581" s="1">
        <v>25.5</v>
      </c>
      <c r="E581" s="1">
        <v>12.61</v>
      </c>
      <c r="F581" s="5">
        <f t="shared" si="40"/>
        <v>45470.601631944446</v>
      </c>
      <c r="G581" s="3">
        <f t="shared" si="41"/>
        <v>5.7207988861119281E-2</v>
      </c>
      <c r="H581" s="3">
        <f t="shared" si="42"/>
        <v>1.4588037159585416E-2</v>
      </c>
      <c r="I581">
        <f t="shared" si="43"/>
        <v>12.561393779959495</v>
      </c>
      <c r="J581">
        <f t="shared" si="44"/>
        <v>10.248029831880837</v>
      </c>
      <c r="K581">
        <v>3.1640000000000001E-3</v>
      </c>
    </row>
    <row r="582" spans="1:11" ht="15" x14ac:dyDescent="0.25">
      <c r="A582" s="1" t="s">
        <v>5</v>
      </c>
      <c r="B582" s="1" t="s">
        <v>578</v>
      </c>
      <c r="C582" s="1">
        <v>35.200000000000003</v>
      </c>
      <c r="D582" s="1">
        <v>24.8</v>
      </c>
      <c r="E582" s="1">
        <v>12.1</v>
      </c>
      <c r="F582" s="5">
        <f t="shared" si="40"/>
        <v>45470.601863425924</v>
      </c>
      <c r="G582" s="3">
        <f t="shared" si="41"/>
        <v>5.6892997382904376E-2</v>
      </c>
      <c r="H582" s="3">
        <f t="shared" si="42"/>
        <v>1.4109463350960284E-2</v>
      </c>
      <c r="I582">
        <f t="shared" si="43"/>
        <v>12.057163671087906</v>
      </c>
      <c r="J582">
        <f t="shared" si="44"/>
        <v>9.915048380537506</v>
      </c>
      <c r="K582">
        <v>3.107E-3</v>
      </c>
    </row>
    <row r="583" spans="1:11" ht="15" x14ac:dyDescent="0.25">
      <c r="A583" s="1" t="s">
        <v>5</v>
      </c>
      <c r="B583" s="1" t="s">
        <v>579</v>
      </c>
      <c r="C583" s="1">
        <v>35.200000000000003</v>
      </c>
      <c r="D583" s="1">
        <v>25.3</v>
      </c>
      <c r="E583" s="1">
        <v>12.4</v>
      </c>
      <c r="F583" s="5">
        <f t="shared" si="40"/>
        <v>45470.602094907408</v>
      </c>
      <c r="G583" s="3">
        <f t="shared" si="41"/>
        <v>5.6892997382904376E-2</v>
      </c>
      <c r="H583" s="3">
        <f t="shared" si="42"/>
        <v>1.4393928337874808E-2</v>
      </c>
      <c r="I583">
        <f t="shared" si="43"/>
        <v>12.358675112636121</v>
      </c>
      <c r="J583">
        <f t="shared" si="44"/>
        <v>10.114948549499957</v>
      </c>
      <c r="K583">
        <v>2.996E-3</v>
      </c>
    </row>
    <row r="584" spans="1:11" ht="15" x14ac:dyDescent="0.25">
      <c r="A584" s="1" t="s">
        <v>5</v>
      </c>
      <c r="B584" s="1" t="s">
        <v>580</v>
      </c>
      <c r="C584" s="1">
        <v>35.200000000000003</v>
      </c>
      <c r="D584" s="1">
        <v>24.8</v>
      </c>
      <c r="E584" s="1">
        <v>12.1</v>
      </c>
      <c r="F584" s="5">
        <f t="shared" si="40"/>
        <v>45470.602326388886</v>
      </c>
      <c r="G584" s="3">
        <f t="shared" si="41"/>
        <v>5.6892997382904376E-2</v>
      </c>
      <c r="H584" s="3">
        <f t="shared" si="42"/>
        <v>1.4109463350960284E-2</v>
      </c>
      <c r="I584">
        <f t="shared" si="43"/>
        <v>12.057163671087906</v>
      </c>
      <c r="J584">
        <f t="shared" si="44"/>
        <v>9.915048380537506</v>
      </c>
      <c r="K584">
        <v>2.9629999999999999E-3</v>
      </c>
    </row>
  </sheetData>
  <pageMargins left="0.78740157499999996" right="0.78740157499999996" top="0.984251969" bottom="0.984251969" header="0.4921259845" footer="0.492125984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5883-CEC3-4C60-AD98-5AFB09C4D0E1}">
  <dimension ref="A1:B579"/>
  <sheetViews>
    <sheetView topLeftCell="A569" workbookViewId="0">
      <selection activeCell="B5" sqref="B5:B579"/>
    </sheetView>
  </sheetViews>
  <sheetFormatPr baseColWidth="10" defaultRowHeight="13.2" x14ac:dyDescent="0.25"/>
  <cols>
    <col min="1" max="1" width="24.5546875" customWidth="1"/>
  </cols>
  <sheetData>
    <row r="1" spans="1:2" x14ac:dyDescent="0.25">
      <c r="A1" s="2">
        <v>45470.46875</v>
      </c>
      <c r="B1">
        <v>1.714E-3</v>
      </c>
    </row>
    <row r="2" spans="1:2" x14ac:dyDescent="0.25">
      <c r="A2" s="2">
        <v>45470.468807870369</v>
      </c>
      <c r="B2">
        <v>1.7899999999999999E-3</v>
      </c>
    </row>
    <row r="3" spans="1:2" x14ac:dyDescent="0.25">
      <c r="A3" s="2">
        <v>45470.469039351854</v>
      </c>
      <c r="B3">
        <v>1.807E-3</v>
      </c>
    </row>
    <row r="4" spans="1:2" x14ac:dyDescent="0.25">
      <c r="A4" s="2">
        <v>45470.469270833331</v>
      </c>
      <c r="B4">
        <v>1.8630000000000001E-3</v>
      </c>
    </row>
    <row r="5" spans="1:2" x14ac:dyDescent="0.25">
      <c r="A5" s="2">
        <v>45470.469502314816</v>
      </c>
      <c r="B5">
        <v>2.1069999999999999E-3</v>
      </c>
    </row>
    <row r="6" spans="1:2" x14ac:dyDescent="0.25">
      <c r="A6" s="2">
        <v>45470.469733796293</v>
      </c>
      <c r="B6">
        <v>1.6149999999999999E-3</v>
      </c>
    </row>
    <row r="7" spans="1:2" x14ac:dyDescent="0.25">
      <c r="A7" s="2">
        <v>45470.469965277778</v>
      </c>
      <c r="B7">
        <v>1.74E-3</v>
      </c>
    </row>
    <row r="8" spans="1:2" x14ac:dyDescent="0.25">
      <c r="A8" s="2">
        <v>45470.470196759263</v>
      </c>
      <c r="B8">
        <v>1.65E-3</v>
      </c>
    </row>
    <row r="9" spans="1:2" x14ac:dyDescent="0.25">
      <c r="A9" s="2">
        <v>45470.47042824074</v>
      </c>
      <c r="B9">
        <v>1.951E-3</v>
      </c>
    </row>
    <row r="10" spans="1:2" x14ac:dyDescent="0.25">
      <c r="A10" s="2">
        <v>45470.470659722225</v>
      </c>
      <c r="B10">
        <v>1.755E-3</v>
      </c>
    </row>
    <row r="11" spans="1:2" x14ac:dyDescent="0.25">
      <c r="A11" s="2">
        <v>45470.470891203702</v>
      </c>
      <c r="B11">
        <v>1.7290000000000001E-3</v>
      </c>
    </row>
    <row r="12" spans="1:2" x14ac:dyDescent="0.25">
      <c r="A12" s="2">
        <v>45470.471122685187</v>
      </c>
      <c r="B12">
        <v>1.6299999999999999E-3</v>
      </c>
    </row>
    <row r="13" spans="1:2" x14ac:dyDescent="0.25">
      <c r="A13" s="2">
        <v>45470.471354166664</v>
      </c>
      <c r="B13">
        <v>1.503E-3</v>
      </c>
    </row>
    <row r="14" spans="1:2" x14ac:dyDescent="0.25">
      <c r="A14" s="2">
        <v>45470.471585648149</v>
      </c>
      <c r="B14">
        <v>1.5100000000000001E-3</v>
      </c>
    </row>
    <row r="15" spans="1:2" x14ac:dyDescent="0.25">
      <c r="A15" s="2">
        <v>45470.471817129626</v>
      </c>
      <c r="B15">
        <v>1.7849999999999999E-3</v>
      </c>
    </row>
    <row r="16" spans="1:2" x14ac:dyDescent="0.25">
      <c r="A16" s="2">
        <v>45470.472048611111</v>
      </c>
      <c r="B16">
        <v>1.5319999999999999E-3</v>
      </c>
    </row>
    <row r="17" spans="1:2" x14ac:dyDescent="0.25">
      <c r="A17" s="2">
        <v>45470.472280092596</v>
      </c>
      <c r="B17">
        <v>1.7049999999999999E-3</v>
      </c>
    </row>
    <row r="18" spans="1:2" x14ac:dyDescent="0.25">
      <c r="A18" s="2">
        <v>45470.472511574073</v>
      </c>
      <c r="B18">
        <v>1.879E-3</v>
      </c>
    </row>
    <row r="19" spans="1:2" x14ac:dyDescent="0.25">
      <c r="A19" s="2">
        <v>45470.472743055558</v>
      </c>
      <c r="B19">
        <v>2E-3</v>
      </c>
    </row>
    <row r="20" spans="1:2" x14ac:dyDescent="0.25">
      <c r="A20" s="2">
        <v>45470.472974537035</v>
      </c>
      <c r="B20">
        <v>1.915E-3</v>
      </c>
    </row>
    <row r="21" spans="1:2" x14ac:dyDescent="0.25">
      <c r="A21" s="2">
        <v>45470.47320601852</v>
      </c>
      <c r="B21">
        <v>2.1180000000000001E-3</v>
      </c>
    </row>
    <row r="22" spans="1:2" x14ac:dyDescent="0.25">
      <c r="A22" s="2">
        <v>45470.473437499997</v>
      </c>
      <c r="B22">
        <v>2.183E-3</v>
      </c>
    </row>
    <row r="23" spans="1:2" x14ac:dyDescent="0.25">
      <c r="A23" s="2">
        <v>45470.473668981482</v>
      </c>
      <c r="B23">
        <v>2.1389999999999998E-3</v>
      </c>
    </row>
    <row r="24" spans="1:2" x14ac:dyDescent="0.25">
      <c r="A24" s="2">
        <v>45470.473900462966</v>
      </c>
      <c r="B24">
        <v>2.1940000000000002E-3</v>
      </c>
    </row>
    <row r="25" spans="1:2" x14ac:dyDescent="0.25">
      <c r="A25" s="2">
        <v>45470.474131944444</v>
      </c>
      <c r="B25">
        <v>1.8879999999999999E-3</v>
      </c>
    </row>
    <row r="26" spans="1:2" x14ac:dyDescent="0.25">
      <c r="A26" s="2">
        <v>45470.474363425928</v>
      </c>
      <c r="B26">
        <v>1.725E-3</v>
      </c>
    </row>
    <row r="27" spans="1:2" x14ac:dyDescent="0.25">
      <c r="A27" s="2">
        <v>45470.474594907406</v>
      </c>
      <c r="B27">
        <v>2.036E-3</v>
      </c>
    </row>
    <row r="28" spans="1:2" x14ac:dyDescent="0.25">
      <c r="A28" s="2">
        <v>45470.474826388891</v>
      </c>
      <c r="B28">
        <v>1.8550000000000001E-3</v>
      </c>
    </row>
    <row r="29" spans="1:2" x14ac:dyDescent="0.25">
      <c r="A29" s="2">
        <v>45470.475057870368</v>
      </c>
      <c r="B29">
        <v>1.74E-3</v>
      </c>
    </row>
    <row r="30" spans="1:2" x14ac:dyDescent="0.25">
      <c r="A30" s="2">
        <v>45470.475289351853</v>
      </c>
      <c r="B30">
        <v>1.438E-3</v>
      </c>
    </row>
    <row r="31" spans="1:2" x14ac:dyDescent="0.25">
      <c r="A31" s="2">
        <v>45470.47552083333</v>
      </c>
      <c r="B31">
        <v>1.5330000000000001E-3</v>
      </c>
    </row>
    <row r="32" spans="1:2" x14ac:dyDescent="0.25">
      <c r="A32" s="2">
        <v>45470.475752314815</v>
      </c>
      <c r="B32">
        <v>1.8420000000000001E-3</v>
      </c>
    </row>
    <row r="33" spans="1:2" x14ac:dyDescent="0.25">
      <c r="A33" s="2">
        <v>45470.475983796299</v>
      </c>
      <c r="B33">
        <v>1.6659999999999999E-3</v>
      </c>
    </row>
    <row r="34" spans="1:2" x14ac:dyDescent="0.25">
      <c r="A34" s="2">
        <v>45470.476215277777</v>
      </c>
      <c r="B34">
        <v>1.9070000000000001E-3</v>
      </c>
    </row>
    <row r="35" spans="1:2" x14ac:dyDescent="0.25">
      <c r="A35" s="2">
        <v>45470.476446759261</v>
      </c>
      <c r="B35">
        <v>1.9369999999999999E-3</v>
      </c>
    </row>
    <row r="36" spans="1:2" x14ac:dyDescent="0.25">
      <c r="A36" s="2">
        <v>45470.476678240739</v>
      </c>
      <c r="B36">
        <v>1.6559999999999999E-3</v>
      </c>
    </row>
    <row r="37" spans="1:2" x14ac:dyDescent="0.25">
      <c r="A37" s="2">
        <v>45470.476909722223</v>
      </c>
      <c r="B37">
        <v>1.931E-3</v>
      </c>
    </row>
    <row r="38" spans="1:2" x14ac:dyDescent="0.25">
      <c r="A38" s="2">
        <v>45470.477141203701</v>
      </c>
      <c r="B38">
        <v>1.4809999999999999E-3</v>
      </c>
    </row>
    <row r="39" spans="1:2" x14ac:dyDescent="0.25">
      <c r="A39" s="2">
        <v>45470.477372685185</v>
      </c>
      <c r="B39">
        <v>2.0590000000000001E-3</v>
      </c>
    </row>
    <row r="40" spans="1:2" x14ac:dyDescent="0.25">
      <c r="A40" s="2">
        <v>45470.47760416667</v>
      </c>
      <c r="B40">
        <v>1.9059999999999999E-3</v>
      </c>
    </row>
    <row r="41" spans="1:2" x14ac:dyDescent="0.25">
      <c r="A41" s="2">
        <v>45470.477835648147</v>
      </c>
      <c r="B41">
        <v>2.0140000000000002E-3</v>
      </c>
    </row>
    <row r="42" spans="1:2" x14ac:dyDescent="0.25">
      <c r="A42" s="2">
        <v>45470.478067129632</v>
      </c>
      <c r="B42">
        <v>2.147E-3</v>
      </c>
    </row>
    <row r="43" spans="1:2" x14ac:dyDescent="0.25">
      <c r="A43" s="2">
        <v>45470.478298611109</v>
      </c>
      <c r="B43">
        <v>2.0470000000000002E-3</v>
      </c>
    </row>
    <row r="44" spans="1:2" x14ac:dyDescent="0.25">
      <c r="A44" s="2">
        <v>45470.478530092594</v>
      </c>
      <c r="B44">
        <v>1.98E-3</v>
      </c>
    </row>
    <row r="45" spans="1:2" x14ac:dyDescent="0.25">
      <c r="A45" s="2">
        <v>45470.478761574072</v>
      </c>
      <c r="B45">
        <v>1.9959999999999999E-3</v>
      </c>
    </row>
    <row r="46" spans="1:2" x14ac:dyDescent="0.25">
      <c r="A46" s="2">
        <v>45470.478993055556</v>
      </c>
      <c r="B46">
        <v>2.036E-3</v>
      </c>
    </row>
    <row r="47" spans="1:2" x14ac:dyDescent="0.25">
      <c r="A47" s="2">
        <v>45470.479224537034</v>
      </c>
      <c r="B47">
        <v>2.1719999999999999E-3</v>
      </c>
    </row>
    <row r="48" spans="1:2" x14ac:dyDescent="0.25">
      <c r="A48" s="2">
        <v>45470.479456018518</v>
      </c>
      <c r="B48">
        <v>2.1120000000000002E-3</v>
      </c>
    </row>
    <row r="49" spans="1:2" x14ac:dyDescent="0.25">
      <c r="A49" s="2">
        <v>45470.479687500003</v>
      </c>
      <c r="B49">
        <v>2.3029999999999999E-3</v>
      </c>
    </row>
    <row r="50" spans="1:2" x14ac:dyDescent="0.25">
      <c r="A50" s="2">
        <v>45470.47991898148</v>
      </c>
      <c r="B50">
        <v>2.1329999999999999E-3</v>
      </c>
    </row>
    <row r="51" spans="1:2" x14ac:dyDescent="0.25">
      <c r="A51" s="2">
        <v>45470.480150462965</v>
      </c>
      <c r="B51">
        <v>2.2039999999999998E-3</v>
      </c>
    </row>
    <row r="52" spans="1:2" x14ac:dyDescent="0.25">
      <c r="A52" s="2">
        <v>45470.480381944442</v>
      </c>
      <c r="B52">
        <v>1.9680000000000001E-3</v>
      </c>
    </row>
    <row r="53" spans="1:2" x14ac:dyDescent="0.25">
      <c r="A53" s="2">
        <v>45470.480613425927</v>
      </c>
      <c r="B53">
        <v>2.1210000000000001E-3</v>
      </c>
    </row>
    <row r="54" spans="1:2" x14ac:dyDescent="0.25">
      <c r="A54" s="2">
        <v>45470.480844907404</v>
      </c>
      <c r="B54">
        <v>1.9269999999999999E-3</v>
      </c>
    </row>
    <row r="55" spans="1:2" x14ac:dyDescent="0.25">
      <c r="A55" s="2">
        <v>45470.481076388889</v>
      </c>
      <c r="B55">
        <v>2.1250000000000002E-3</v>
      </c>
    </row>
    <row r="56" spans="1:2" x14ac:dyDescent="0.25">
      <c r="A56" s="2">
        <v>45470.481307870374</v>
      </c>
      <c r="B56">
        <v>2.1099999999999999E-3</v>
      </c>
    </row>
    <row r="57" spans="1:2" x14ac:dyDescent="0.25">
      <c r="A57" s="2">
        <v>45470.481539351851</v>
      </c>
      <c r="B57">
        <v>1.9170000000000001E-3</v>
      </c>
    </row>
    <row r="58" spans="1:2" x14ac:dyDescent="0.25">
      <c r="A58" s="2">
        <v>45470.481770833336</v>
      </c>
      <c r="B58">
        <v>1.7949999999999999E-3</v>
      </c>
    </row>
    <row r="59" spans="1:2" x14ac:dyDescent="0.25">
      <c r="A59" s="2">
        <v>45470.482002314813</v>
      </c>
      <c r="B59">
        <v>1.7290000000000001E-3</v>
      </c>
    </row>
    <row r="60" spans="1:2" x14ac:dyDescent="0.25">
      <c r="A60" s="2">
        <v>45470.482233796298</v>
      </c>
      <c r="B60">
        <v>1.923E-3</v>
      </c>
    </row>
    <row r="61" spans="1:2" x14ac:dyDescent="0.25">
      <c r="A61" s="2">
        <v>45470.482465277775</v>
      </c>
      <c r="B61">
        <v>1.9880000000000002E-3</v>
      </c>
    </row>
    <row r="62" spans="1:2" x14ac:dyDescent="0.25">
      <c r="A62" s="2">
        <v>45470.48269675926</v>
      </c>
      <c r="B62">
        <v>1.9689999999999998E-3</v>
      </c>
    </row>
    <row r="63" spans="1:2" x14ac:dyDescent="0.25">
      <c r="A63" s="2">
        <v>45470.482928240737</v>
      </c>
      <c r="B63">
        <v>1.8420000000000001E-3</v>
      </c>
    </row>
    <row r="64" spans="1:2" x14ac:dyDescent="0.25">
      <c r="A64" s="2">
        <v>45470.483159722222</v>
      </c>
      <c r="B64">
        <v>1.8060000000000001E-3</v>
      </c>
    </row>
    <row r="65" spans="1:2" x14ac:dyDescent="0.25">
      <c r="A65" s="2">
        <v>45470.483391203707</v>
      </c>
      <c r="B65">
        <v>1.818E-3</v>
      </c>
    </row>
    <row r="66" spans="1:2" x14ac:dyDescent="0.25">
      <c r="A66" s="2">
        <v>45470.483622685184</v>
      </c>
      <c r="B66">
        <v>2.787E-3</v>
      </c>
    </row>
    <row r="67" spans="1:2" x14ac:dyDescent="0.25">
      <c r="A67" s="2">
        <v>45470.483854166669</v>
      </c>
      <c r="B67">
        <v>1.5709999999999999E-3</v>
      </c>
    </row>
    <row r="68" spans="1:2" x14ac:dyDescent="0.25">
      <c r="A68" s="2">
        <v>45470.484085648146</v>
      </c>
      <c r="B68">
        <v>1.5560000000000001E-3</v>
      </c>
    </row>
    <row r="69" spans="1:2" x14ac:dyDescent="0.25">
      <c r="A69" s="2">
        <v>45470.484317129631</v>
      </c>
      <c r="B69">
        <v>2.5999999999999998E-4</v>
      </c>
    </row>
    <row r="70" spans="1:2" x14ac:dyDescent="0.25">
      <c r="A70" s="2">
        <v>45470.484548611108</v>
      </c>
      <c r="B70">
        <v>2.1380000000000001E-3</v>
      </c>
    </row>
    <row r="71" spans="1:2" x14ac:dyDescent="0.25">
      <c r="A71" s="2">
        <v>45470.484780092593</v>
      </c>
      <c r="B71">
        <v>2.843E-3</v>
      </c>
    </row>
    <row r="72" spans="1:2" x14ac:dyDescent="0.25">
      <c r="A72" s="2">
        <v>45470.485011574077</v>
      </c>
      <c r="B72">
        <v>2.4369999999999999E-3</v>
      </c>
    </row>
    <row r="73" spans="1:2" x14ac:dyDescent="0.25">
      <c r="A73" s="2">
        <v>45470.485243055555</v>
      </c>
      <c r="B73">
        <v>2.4740000000000001E-3</v>
      </c>
    </row>
    <row r="74" spans="1:2" x14ac:dyDescent="0.25">
      <c r="A74" s="2">
        <v>45470.485474537039</v>
      </c>
      <c r="B74">
        <v>2.183E-3</v>
      </c>
    </row>
    <row r="75" spans="1:2" x14ac:dyDescent="0.25">
      <c r="A75" s="2">
        <v>45470.485706018517</v>
      </c>
      <c r="B75">
        <v>1.885E-3</v>
      </c>
    </row>
    <row r="76" spans="1:2" x14ac:dyDescent="0.25">
      <c r="A76" s="2">
        <v>45470.485937500001</v>
      </c>
      <c r="B76">
        <v>2.715E-3</v>
      </c>
    </row>
    <row r="77" spans="1:2" x14ac:dyDescent="0.25">
      <c r="A77" s="2">
        <v>45470.486168981479</v>
      </c>
      <c r="B77">
        <v>1.691E-3</v>
      </c>
    </row>
    <row r="78" spans="1:2" x14ac:dyDescent="0.25">
      <c r="A78" s="2">
        <v>45470.486400462964</v>
      </c>
      <c r="B78">
        <v>1.4519999999999999E-3</v>
      </c>
    </row>
    <row r="79" spans="1:2" x14ac:dyDescent="0.25">
      <c r="A79" s="2">
        <v>45470.486631944441</v>
      </c>
      <c r="B79">
        <v>1.892E-3</v>
      </c>
    </row>
    <row r="80" spans="1:2" x14ac:dyDescent="0.25">
      <c r="A80" s="2">
        <v>45470.486863425926</v>
      </c>
      <c r="B80">
        <v>2.0939999999999999E-3</v>
      </c>
    </row>
    <row r="81" spans="1:2" x14ac:dyDescent="0.25">
      <c r="A81" s="2">
        <v>45470.48709490741</v>
      </c>
      <c r="B81">
        <v>2.9190000000000002E-3</v>
      </c>
    </row>
    <row r="82" spans="1:2" x14ac:dyDescent="0.25">
      <c r="A82" s="2">
        <v>45470.487326388888</v>
      </c>
      <c r="B82">
        <v>2.4380000000000001E-3</v>
      </c>
    </row>
    <row r="83" spans="1:2" x14ac:dyDescent="0.25">
      <c r="A83" s="2">
        <v>45470.487557870372</v>
      </c>
      <c r="B83">
        <v>2.957E-3</v>
      </c>
    </row>
    <row r="84" spans="1:2" x14ac:dyDescent="0.25">
      <c r="A84" s="2">
        <v>45470.48778935185</v>
      </c>
      <c r="B84">
        <v>2.836E-3</v>
      </c>
    </row>
    <row r="85" spans="1:2" x14ac:dyDescent="0.25">
      <c r="A85" s="2">
        <v>45470.488020833334</v>
      </c>
      <c r="B85">
        <v>2.875E-3</v>
      </c>
    </row>
    <row r="86" spans="1:2" x14ac:dyDescent="0.25">
      <c r="A86" s="2">
        <v>45470.488252314812</v>
      </c>
      <c r="B86">
        <v>3.1939999999999998E-3</v>
      </c>
    </row>
    <row r="87" spans="1:2" x14ac:dyDescent="0.25">
      <c r="A87" s="2">
        <v>45470.488483796296</v>
      </c>
      <c r="B87">
        <v>3.5349999999999999E-3</v>
      </c>
    </row>
    <row r="88" spans="1:2" x14ac:dyDescent="0.25">
      <c r="A88" s="2">
        <v>45470.488715277781</v>
      </c>
      <c r="B88">
        <v>2.9320000000000001E-3</v>
      </c>
    </row>
    <row r="89" spans="1:2" x14ac:dyDescent="0.25">
      <c r="A89" s="2">
        <v>45470.488946759258</v>
      </c>
      <c r="B89">
        <v>2.9359999999999998E-3</v>
      </c>
    </row>
    <row r="90" spans="1:2" x14ac:dyDescent="0.25">
      <c r="A90" s="2">
        <v>45470.489178240743</v>
      </c>
      <c r="B90">
        <v>2.9819999999999998E-3</v>
      </c>
    </row>
    <row r="91" spans="1:2" x14ac:dyDescent="0.25">
      <c r="A91" s="2">
        <v>45470.48940972222</v>
      </c>
      <c r="B91">
        <v>3.542E-3</v>
      </c>
    </row>
    <row r="92" spans="1:2" x14ac:dyDescent="0.25">
      <c r="A92" s="2">
        <v>45470.489641203705</v>
      </c>
      <c r="B92">
        <v>3.3999999999999998E-3</v>
      </c>
    </row>
    <row r="93" spans="1:2" x14ac:dyDescent="0.25">
      <c r="A93" s="2">
        <v>45470.489872685182</v>
      </c>
      <c r="B93">
        <v>3.9300000000000003E-3</v>
      </c>
    </row>
    <row r="94" spans="1:2" x14ac:dyDescent="0.25">
      <c r="A94" s="2">
        <v>45470.490104166667</v>
      </c>
      <c r="B94">
        <v>3.5829999999999998E-3</v>
      </c>
    </row>
    <row r="95" spans="1:2" x14ac:dyDescent="0.25">
      <c r="A95" s="2">
        <v>45470.490335648145</v>
      </c>
      <c r="B95">
        <v>3.9230000000000003E-3</v>
      </c>
    </row>
    <row r="96" spans="1:2" x14ac:dyDescent="0.25">
      <c r="A96" s="2">
        <v>45470.490567129629</v>
      </c>
      <c r="B96">
        <v>3.46E-3</v>
      </c>
    </row>
    <row r="97" spans="1:2" x14ac:dyDescent="0.25">
      <c r="A97" s="2">
        <v>45470.490798611114</v>
      </c>
      <c r="B97">
        <v>3.754E-3</v>
      </c>
    </row>
    <row r="98" spans="1:2" x14ac:dyDescent="0.25">
      <c r="A98" s="2">
        <v>45470.491030092591</v>
      </c>
      <c r="B98">
        <v>4.5110000000000003E-3</v>
      </c>
    </row>
    <row r="99" spans="1:2" x14ac:dyDescent="0.25">
      <c r="A99" s="2">
        <v>45470.491261574076</v>
      </c>
      <c r="B99">
        <v>3.7039999999999998E-3</v>
      </c>
    </row>
    <row r="100" spans="1:2" x14ac:dyDescent="0.25">
      <c r="A100" s="2">
        <v>45470.491493055553</v>
      </c>
      <c r="B100">
        <v>3.7420000000000001E-3</v>
      </c>
    </row>
    <row r="101" spans="1:2" x14ac:dyDescent="0.25">
      <c r="A101" s="2">
        <v>45470.491724537038</v>
      </c>
      <c r="B101">
        <v>3.2060000000000001E-3</v>
      </c>
    </row>
    <row r="102" spans="1:2" x14ac:dyDescent="0.25">
      <c r="A102" s="2">
        <v>45470.491956018515</v>
      </c>
      <c r="B102">
        <v>2.5300000000000001E-3</v>
      </c>
    </row>
    <row r="103" spans="1:2" x14ac:dyDescent="0.25">
      <c r="A103" s="2">
        <v>45470.4921875</v>
      </c>
      <c r="B103">
        <v>3.2780000000000001E-3</v>
      </c>
    </row>
    <row r="104" spans="1:2" x14ac:dyDescent="0.25">
      <c r="A104" s="2">
        <v>45470.492418981485</v>
      </c>
      <c r="B104">
        <v>3.0920000000000001E-3</v>
      </c>
    </row>
    <row r="105" spans="1:2" x14ac:dyDescent="0.25">
      <c r="A105" s="2">
        <v>45470.492650462962</v>
      </c>
      <c r="B105">
        <v>3.4039999999999999E-3</v>
      </c>
    </row>
    <row r="106" spans="1:2" x14ac:dyDescent="0.25">
      <c r="A106" s="2">
        <v>45470.492881944447</v>
      </c>
      <c r="B106">
        <v>2.7880000000000001E-3</v>
      </c>
    </row>
    <row r="107" spans="1:2" x14ac:dyDescent="0.25">
      <c r="A107" s="2">
        <v>45470.493113425924</v>
      </c>
      <c r="B107">
        <v>4.1000000000000003E-3</v>
      </c>
    </row>
    <row r="108" spans="1:2" x14ac:dyDescent="0.25">
      <c r="A108" s="2">
        <v>45470.493344907409</v>
      </c>
      <c r="B108">
        <v>3.4680000000000002E-3</v>
      </c>
    </row>
    <row r="109" spans="1:2" x14ac:dyDescent="0.25">
      <c r="A109" s="2">
        <v>45470.493576388886</v>
      </c>
      <c r="B109">
        <v>3.5569999999999998E-3</v>
      </c>
    </row>
    <row r="110" spans="1:2" x14ac:dyDescent="0.25">
      <c r="A110" s="2">
        <v>45470.493807870371</v>
      </c>
      <c r="B110">
        <v>3.5990000000000002E-3</v>
      </c>
    </row>
    <row r="111" spans="1:2" x14ac:dyDescent="0.25">
      <c r="A111" s="2">
        <v>45470.494039351855</v>
      </c>
      <c r="B111">
        <v>4.1349999999999998E-3</v>
      </c>
    </row>
    <row r="112" spans="1:2" x14ac:dyDescent="0.25">
      <c r="A112" s="2">
        <v>45470.494270833333</v>
      </c>
      <c r="B112">
        <v>3.4169999999999999E-3</v>
      </c>
    </row>
    <row r="113" spans="1:2" x14ac:dyDescent="0.25">
      <c r="A113" s="2">
        <v>45470.494502314818</v>
      </c>
      <c r="B113">
        <v>3.7269999999999998E-3</v>
      </c>
    </row>
    <row r="114" spans="1:2" x14ac:dyDescent="0.25">
      <c r="A114" s="2">
        <v>45470.494733796295</v>
      </c>
      <c r="B114">
        <v>3.9020000000000001E-3</v>
      </c>
    </row>
    <row r="115" spans="1:2" x14ac:dyDescent="0.25">
      <c r="A115" s="2">
        <v>45470.49496527778</v>
      </c>
      <c r="B115">
        <v>2.9030000000000002E-3</v>
      </c>
    </row>
    <row r="116" spans="1:2" x14ac:dyDescent="0.25">
      <c r="A116" s="2">
        <v>45470.495196759257</v>
      </c>
      <c r="B116">
        <v>3.274E-3</v>
      </c>
    </row>
    <row r="117" spans="1:2" x14ac:dyDescent="0.25">
      <c r="A117" s="2">
        <v>45470.495428240742</v>
      </c>
      <c r="B117">
        <v>4.3350000000000003E-3</v>
      </c>
    </row>
    <row r="118" spans="1:2" x14ac:dyDescent="0.25">
      <c r="A118" s="2">
        <v>45470.495659722219</v>
      </c>
      <c r="B118">
        <v>3.591E-3</v>
      </c>
    </row>
    <row r="119" spans="1:2" x14ac:dyDescent="0.25">
      <c r="A119" s="2">
        <v>45470.495891203704</v>
      </c>
      <c r="B119">
        <v>2.7910000000000001E-3</v>
      </c>
    </row>
    <row r="120" spans="1:2" x14ac:dyDescent="0.25">
      <c r="A120" s="2">
        <v>45470.496122685188</v>
      </c>
      <c r="B120">
        <v>3.9399999999999999E-3</v>
      </c>
    </row>
    <row r="121" spans="1:2" x14ac:dyDescent="0.25">
      <c r="A121" s="2">
        <v>45470.496354166666</v>
      </c>
      <c r="B121">
        <v>3.2529999999999998E-3</v>
      </c>
    </row>
    <row r="122" spans="1:2" x14ac:dyDescent="0.25">
      <c r="A122" s="2">
        <v>45470.49658564815</v>
      </c>
      <c r="B122">
        <v>3.5750000000000001E-3</v>
      </c>
    </row>
    <row r="123" spans="1:2" x14ac:dyDescent="0.25">
      <c r="A123" s="2">
        <v>45470.496817129628</v>
      </c>
      <c r="B123">
        <v>2.9989999999999999E-3</v>
      </c>
    </row>
    <row r="124" spans="1:2" x14ac:dyDescent="0.25">
      <c r="A124" s="2">
        <v>45470.497048611112</v>
      </c>
      <c r="B124">
        <v>3.9870000000000001E-3</v>
      </c>
    </row>
    <row r="125" spans="1:2" x14ac:dyDescent="0.25">
      <c r="A125" s="2">
        <v>45470.49728009259</v>
      </c>
      <c r="B125">
        <v>4.0889999999999998E-3</v>
      </c>
    </row>
    <row r="126" spans="1:2" x14ac:dyDescent="0.25">
      <c r="A126" s="2">
        <v>45470.497511574074</v>
      </c>
      <c r="B126">
        <v>3.6809999999999998E-3</v>
      </c>
    </row>
    <row r="127" spans="1:2" x14ac:dyDescent="0.25">
      <c r="A127" s="2">
        <v>45470.497743055559</v>
      </c>
      <c r="B127">
        <v>3.186E-3</v>
      </c>
    </row>
    <row r="128" spans="1:2" x14ac:dyDescent="0.25">
      <c r="A128" s="2">
        <v>45470.497974537036</v>
      </c>
      <c r="B128">
        <v>4.1980000000000003E-3</v>
      </c>
    </row>
    <row r="129" spans="1:2" x14ac:dyDescent="0.25">
      <c r="A129" s="2">
        <v>45470.498206018521</v>
      </c>
      <c r="B129">
        <v>3.718E-3</v>
      </c>
    </row>
    <row r="130" spans="1:2" x14ac:dyDescent="0.25">
      <c r="A130" s="2">
        <v>45470.498437499999</v>
      </c>
      <c r="B130">
        <v>3.777E-3</v>
      </c>
    </row>
    <row r="131" spans="1:2" x14ac:dyDescent="0.25">
      <c r="A131" s="2">
        <v>45470.498668981483</v>
      </c>
      <c r="B131">
        <v>3.5839999999999999E-3</v>
      </c>
    </row>
    <row r="132" spans="1:2" x14ac:dyDescent="0.25">
      <c r="A132" s="2">
        <v>45470.498900462961</v>
      </c>
      <c r="B132">
        <v>3.2070000000000002E-3</v>
      </c>
    </row>
    <row r="133" spans="1:2" x14ac:dyDescent="0.25">
      <c r="A133" s="2">
        <v>45470.499131944445</v>
      </c>
      <c r="B133">
        <v>2.9429999999999999E-3</v>
      </c>
    </row>
    <row r="134" spans="1:2" x14ac:dyDescent="0.25">
      <c r="A134" s="2">
        <v>45470.499363425923</v>
      </c>
      <c r="B134">
        <v>3.8709999999999999E-3</v>
      </c>
    </row>
    <row r="135" spans="1:2" x14ac:dyDescent="0.25">
      <c r="A135" s="2">
        <v>45470.499594907407</v>
      </c>
      <c r="B135">
        <v>4.1089999999999998E-3</v>
      </c>
    </row>
    <row r="136" spans="1:2" x14ac:dyDescent="0.25">
      <c r="A136" s="2">
        <v>45470.499826388892</v>
      </c>
      <c r="B136">
        <v>3.784E-3</v>
      </c>
    </row>
    <row r="137" spans="1:2" x14ac:dyDescent="0.25">
      <c r="A137" s="2">
        <v>45470.500057870369</v>
      </c>
      <c r="B137">
        <v>4.0819999999999997E-3</v>
      </c>
    </row>
    <row r="138" spans="1:2" x14ac:dyDescent="0.25">
      <c r="A138" s="2">
        <v>45470.500289351854</v>
      </c>
      <c r="B138">
        <v>4.1599999999999996E-3</v>
      </c>
    </row>
    <row r="139" spans="1:2" x14ac:dyDescent="0.25">
      <c r="A139" s="2">
        <v>45470.500520833331</v>
      </c>
      <c r="B139">
        <v>4.3909999999999999E-3</v>
      </c>
    </row>
    <row r="140" spans="1:2" x14ac:dyDescent="0.25">
      <c r="A140" s="2">
        <v>45470.500752314816</v>
      </c>
      <c r="B140">
        <v>5.1289999999999999E-3</v>
      </c>
    </row>
    <row r="141" spans="1:2" x14ac:dyDescent="0.25">
      <c r="A141" s="2">
        <v>45470.500983796293</v>
      </c>
      <c r="B141">
        <v>4.2420000000000001E-3</v>
      </c>
    </row>
    <row r="142" spans="1:2" x14ac:dyDescent="0.25">
      <c r="A142" s="2">
        <v>45470.501215277778</v>
      </c>
      <c r="B142">
        <v>4.9360000000000003E-3</v>
      </c>
    </row>
    <row r="143" spans="1:2" x14ac:dyDescent="0.25">
      <c r="A143" s="2">
        <v>45470.501446759263</v>
      </c>
      <c r="B143">
        <v>4.0810000000000004E-3</v>
      </c>
    </row>
    <row r="144" spans="1:2" x14ac:dyDescent="0.25">
      <c r="A144" s="2">
        <v>45470.50167824074</v>
      </c>
      <c r="B144">
        <v>4.9839999999999997E-3</v>
      </c>
    </row>
    <row r="145" spans="1:2" x14ac:dyDescent="0.25">
      <c r="A145" s="2">
        <v>45470.501909722225</v>
      </c>
      <c r="B145">
        <v>4.5989999999999998E-3</v>
      </c>
    </row>
    <row r="146" spans="1:2" x14ac:dyDescent="0.25">
      <c r="A146" s="2">
        <v>45470.502141203702</v>
      </c>
      <c r="B146">
        <v>4.6719999999999999E-3</v>
      </c>
    </row>
    <row r="147" spans="1:2" x14ac:dyDescent="0.25">
      <c r="A147" s="2">
        <v>45470.502372685187</v>
      </c>
      <c r="B147">
        <v>4.4759999999999999E-3</v>
      </c>
    </row>
    <row r="148" spans="1:2" x14ac:dyDescent="0.25">
      <c r="A148" s="2">
        <v>45470.502604166664</v>
      </c>
      <c r="B148">
        <v>4.7559999999999998E-3</v>
      </c>
    </row>
    <row r="149" spans="1:2" x14ac:dyDescent="0.25">
      <c r="A149" s="2">
        <v>45470.502835648149</v>
      </c>
      <c r="B149">
        <v>5.045E-3</v>
      </c>
    </row>
    <row r="150" spans="1:2" x14ac:dyDescent="0.25">
      <c r="A150" s="2">
        <v>45470.503067129626</v>
      </c>
      <c r="B150">
        <v>5.4159999999999998E-3</v>
      </c>
    </row>
    <row r="151" spans="1:2" x14ac:dyDescent="0.25">
      <c r="A151" s="2">
        <v>45470.503298611111</v>
      </c>
      <c r="B151">
        <v>5.1310000000000001E-3</v>
      </c>
    </row>
    <row r="152" spans="1:2" x14ac:dyDescent="0.25">
      <c r="A152" s="2">
        <v>45470.503530092596</v>
      </c>
      <c r="B152">
        <v>5.0299999999999997E-3</v>
      </c>
    </row>
    <row r="153" spans="1:2" x14ac:dyDescent="0.25">
      <c r="A153" s="2">
        <v>45470.503761574073</v>
      </c>
      <c r="B153">
        <v>4.4079999999999996E-3</v>
      </c>
    </row>
    <row r="154" spans="1:2" x14ac:dyDescent="0.25">
      <c r="A154" s="2">
        <v>45470.503993055558</v>
      </c>
      <c r="B154">
        <v>4.7359999999999998E-3</v>
      </c>
    </row>
    <row r="155" spans="1:2" x14ac:dyDescent="0.25">
      <c r="A155" s="2">
        <v>45470.504224537035</v>
      </c>
      <c r="B155">
        <v>4.5110000000000003E-3</v>
      </c>
    </row>
    <row r="156" spans="1:2" x14ac:dyDescent="0.25">
      <c r="A156" s="2">
        <v>45470.50445601852</v>
      </c>
      <c r="B156">
        <v>4.5519999999999996E-3</v>
      </c>
    </row>
    <row r="157" spans="1:2" x14ac:dyDescent="0.25">
      <c r="A157" s="2">
        <v>45470.504687499997</v>
      </c>
      <c r="B157">
        <v>4.5490000000000001E-3</v>
      </c>
    </row>
    <row r="158" spans="1:2" x14ac:dyDescent="0.25">
      <c r="A158" s="2">
        <v>45470.504918981482</v>
      </c>
      <c r="B158">
        <v>4.1539999999999997E-3</v>
      </c>
    </row>
    <row r="159" spans="1:2" x14ac:dyDescent="0.25">
      <c r="A159" s="2">
        <v>45470.505150462966</v>
      </c>
      <c r="B159">
        <v>4.7089999999999996E-3</v>
      </c>
    </row>
    <row r="160" spans="1:2" x14ac:dyDescent="0.25">
      <c r="A160" s="2">
        <v>45470.505381944444</v>
      </c>
      <c r="B160">
        <v>4.7419999999999997E-3</v>
      </c>
    </row>
    <row r="161" spans="1:2" x14ac:dyDescent="0.25">
      <c r="A161" s="2">
        <v>45470.505613425928</v>
      </c>
      <c r="B161">
        <v>4.3359999999999996E-3</v>
      </c>
    </row>
    <row r="162" spans="1:2" x14ac:dyDescent="0.25">
      <c r="A162" s="2">
        <v>45470.505844907406</v>
      </c>
      <c r="B162">
        <v>4.6610000000000002E-3</v>
      </c>
    </row>
    <row r="163" spans="1:2" x14ac:dyDescent="0.25">
      <c r="A163" s="2">
        <v>45470.506076388891</v>
      </c>
      <c r="B163">
        <v>4.2050000000000004E-3</v>
      </c>
    </row>
    <row r="164" spans="1:2" x14ac:dyDescent="0.25">
      <c r="A164" s="2">
        <v>45470.506307870368</v>
      </c>
      <c r="B164">
        <v>4.2929999999999999E-3</v>
      </c>
    </row>
    <row r="165" spans="1:2" x14ac:dyDescent="0.25">
      <c r="A165" s="2">
        <v>45470.506539351853</v>
      </c>
      <c r="B165">
        <v>4.6350000000000002E-3</v>
      </c>
    </row>
    <row r="166" spans="1:2" x14ac:dyDescent="0.25">
      <c r="A166" s="2">
        <v>45470.50677083333</v>
      </c>
      <c r="B166">
        <v>5.0790000000000002E-3</v>
      </c>
    </row>
    <row r="167" spans="1:2" x14ac:dyDescent="0.25">
      <c r="A167" s="2">
        <v>45470.507002314815</v>
      </c>
      <c r="B167">
        <v>4.4149999999999997E-3</v>
      </c>
    </row>
    <row r="168" spans="1:2" x14ac:dyDescent="0.25">
      <c r="A168" s="2">
        <v>45470.507233796299</v>
      </c>
      <c r="B168">
        <v>4.1050000000000001E-3</v>
      </c>
    </row>
    <row r="169" spans="1:2" x14ac:dyDescent="0.25">
      <c r="A169" s="2">
        <v>45470.507465277777</v>
      </c>
      <c r="B169">
        <v>4.9150000000000001E-3</v>
      </c>
    </row>
    <row r="170" spans="1:2" x14ac:dyDescent="0.25">
      <c r="A170" s="2">
        <v>45470.507696759261</v>
      </c>
      <c r="B170">
        <v>4.8840000000000003E-3</v>
      </c>
    </row>
    <row r="171" spans="1:2" x14ac:dyDescent="0.25">
      <c r="A171" s="2">
        <v>45470.507928240739</v>
      </c>
      <c r="B171">
        <v>4.0619999999999996E-3</v>
      </c>
    </row>
    <row r="172" spans="1:2" x14ac:dyDescent="0.25">
      <c r="A172" s="2">
        <v>45470.508159722223</v>
      </c>
      <c r="B172">
        <v>4.47E-3</v>
      </c>
    </row>
    <row r="173" spans="1:2" x14ac:dyDescent="0.25">
      <c r="A173" s="2">
        <v>45470.508391203701</v>
      </c>
      <c r="B173">
        <v>3.7559999999999998E-3</v>
      </c>
    </row>
    <row r="174" spans="1:2" x14ac:dyDescent="0.25">
      <c r="A174" s="2">
        <v>45470.508622685185</v>
      </c>
      <c r="B174">
        <v>5.045E-3</v>
      </c>
    </row>
    <row r="175" spans="1:2" x14ac:dyDescent="0.25">
      <c r="A175" s="2">
        <v>45470.50885416667</v>
      </c>
      <c r="B175">
        <v>4.1260000000000003E-3</v>
      </c>
    </row>
    <row r="176" spans="1:2" x14ac:dyDescent="0.25">
      <c r="A176" s="2">
        <v>45470.509085648147</v>
      </c>
      <c r="B176">
        <v>4.9129999999999998E-3</v>
      </c>
    </row>
    <row r="177" spans="1:2" x14ac:dyDescent="0.25">
      <c r="A177" s="2">
        <v>45470.509317129632</v>
      </c>
      <c r="B177">
        <v>4.7540000000000004E-3</v>
      </c>
    </row>
    <row r="178" spans="1:2" x14ac:dyDescent="0.25">
      <c r="A178" s="2">
        <v>45470.509548611109</v>
      </c>
      <c r="B178">
        <v>4.4359999999999998E-3</v>
      </c>
    </row>
    <row r="179" spans="1:2" x14ac:dyDescent="0.25">
      <c r="A179" s="2">
        <v>45470.509780092594</v>
      </c>
      <c r="B179">
        <v>5.2449999999999997E-3</v>
      </c>
    </row>
    <row r="180" spans="1:2" x14ac:dyDescent="0.25">
      <c r="A180" s="2">
        <v>45470.510011574072</v>
      </c>
      <c r="B180">
        <v>4.8209999999999998E-3</v>
      </c>
    </row>
    <row r="181" spans="1:2" x14ac:dyDescent="0.25">
      <c r="A181" s="2">
        <v>45470.510243055556</v>
      </c>
      <c r="B181">
        <v>4.3150000000000003E-3</v>
      </c>
    </row>
    <row r="182" spans="1:2" x14ac:dyDescent="0.25">
      <c r="A182" s="2">
        <v>45470.510474537034</v>
      </c>
      <c r="B182">
        <v>4.2090000000000001E-3</v>
      </c>
    </row>
    <row r="183" spans="1:2" x14ac:dyDescent="0.25">
      <c r="A183" s="2">
        <v>45470.510706018518</v>
      </c>
      <c r="B183">
        <v>4.6690000000000004E-3</v>
      </c>
    </row>
    <row r="184" spans="1:2" x14ac:dyDescent="0.25">
      <c r="A184" s="2">
        <v>45470.510937500003</v>
      </c>
      <c r="B184">
        <v>4.3359999999999996E-3</v>
      </c>
    </row>
    <row r="185" spans="1:2" x14ac:dyDescent="0.25">
      <c r="A185" s="2">
        <v>45470.51116898148</v>
      </c>
      <c r="B185">
        <v>4.8399999999999997E-3</v>
      </c>
    </row>
    <row r="186" spans="1:2" x14ac:dyDescent="0.25">
      <c r="A186" s="2">
        <v>45470.511400462965</v>
      </c>
      <c r="B186">
        <v>4.5739999999999999E-3</v>
      </c>
    </row>
    <row r="187" spans="1:2" x14ac:dyDescent="0.25">
      <c r="A187" s="2">
        <v>45470.511631944442</v>
      </c>
      <c r="B187">
        <v>5.1159999999999999E-3</v>
      </c>
    </row>
    <row r="188" spans="1:2" x14ac:dyDescent="0.25">
      <c r="A188" s="2">
        <v>45470.511863425927</v>
      </c>
      <c r="B188">
        <v>5.0699999999999999E-3</v>
      </c>
    </row>
    <row r="189" spans="1:2" x14ac:dyDescent="0.25">
      <c r="A189" s="2">
        <v>45470.512094907404</v>
      </c>
      <c r="B189">
        <v>5.0470000000000003E-3</v>
      </c>
    </row>
    <row r="190" spans="1:2" x14ac:dyDescent="0.25">
      <c r="A190" s="2">
        <v>45470.512326388889</v>
      </c>
      <c r="B190">
        <v>5.4970000000000001E-3</v>
      </c>
    </row>
    <row r="191" spans="1:2" x14ac:dyDescent="0.25">
      <c r="A191" s="2">
        <v>45470.512557870374</v>
      </c>
      <c r="B191">
        <v>5.4590000000000003E-3</v>
      </c>
    </row>
    <row r="192" spans="1:2" x14ac:dyDescent="0.25">
      <c r="A192" s="2">
        <v>45470.512789351851</v>
      </c>
      <c r="B192">
        <v>6.339E-3</v>
      </c>
    </row>
    <row r="193" spans="1:2" x14ac:dyDescent="0.25">
      <c r="A193" s="2">
        <v>45470.513020833336</v>
      </c>
      <c r="B193">
        <v>5.5009999999999998E-3</v>
      </c>
    </row>
    <row r="194" spans="1:2" x14ac:dyDescent="0.25">
      <c r="A194" s="2">
        <v>45470.513252314813</v>
      </c>
      <c r="B194">
        <v>5.8259999999999996E-3</v>
      </c>
    </row>
    <row r="195" spans="1:2" x14ac:dyDescent="0.25">
      <c r="A195" s="2">
        <v>45470.513483796298</v>
      </c>
      <c r="B195">
        <v>6.5329999999999997E-3</v>
      </c>
    </row>
    <row r="196" spans="1:2" x14ac:dyDescent="0.25">
      <c r="A196" s="2">
        <v>45470.513715277775</v>
      </c>
      <c r="B196">
        <v>6.0359999999999997E-3</v>
      </c>
    </row>
    <row r="197" spans="1:2" x14ac:dyDescent="0.25">
      <c r="A197" s="2">
        <v>45470.51394675926</v>
      </c>
      <c r="B197">
        <v>6.0229999999999997E-3</v>
      </c>
    </row>
    <row r="198" spans="1:2" x14ac:dyDescent="0.25">
      <c r="A198" s="2">
        <v>45470.514178240737</v>
      </c>
      <c r="B198">
        <v>6.0219999999999996E-3</v>
      </c>
    </row>
    <row r="199" spans="1:2" x14ac:dyDescent="0.25">
      <c r="A199" s="2">
        <v>45470.514409722222</v>
      </c>
      <c r="B199">
        <v>5.561E-3</v>
      </c>
    </row>
    <row r="200" spans="1:2" x14ac:dyDescent="0.25">
      <c r="A200" s="2">
        <v>45470.514641203707</v>
      </c>
      <c r="B200">
        <v>6.5529999999999998E-3</v>
      </c>
    </row>
    <row r="201" spans="1:2" x14ac:dyDescent="0.25">
      <c r="A201" s="2">
        <v>45470.514872685184</v>
      </c>
      <c r="B201">
        <v>5.6990000000000001E-3</v>
      </c>
    </row>
    <row r="202" spans="1:2" x14ac:dyDescent="0.25">
      <c r="A202" s="2">
        <v>45470.515104166669</v>
      </c>
      <c r="B202">
        <v>5.7409999999999996E-3</v>
      </c>
    </row>
    <row r="203" spans="1:2" x14ac:dyDescent="0.25">
      <c r="A203" s="2">
        <v>45470.515335648146</v>
      </c>
      <c r="B203">
        <v>6.3940000000000004E-3</v>
      </c>
    </row>
    <row r="204" spans="1:2" x14ac:dyDescent="0.25">
      <c r="A204" s="2">
        <v>45470.515567129631</v>
      </c>
      <c r="B204">
        <v>5.672E-3</v>
      </c>
    </row>
    <row r="205" spans="1:2" x14ac:dyDescent="0.25">
      <c r="A205" s="2">
        <v>45470.515798611108</v>
      </c>
      <c r="B205">
        <v>5.6699999999999997E-3</v>
      </c>
    </row>
    <row r="206" spans="1:2" x14ac:dyDescent="0.25">
      <c r="A206" s="2">
        <v>45470.516030092593</v>
      </c>
      <c r="B206">
        <v>5.3629999999999997E-3</v>
      </c>
    </row>
    <row r="207" spans="1:2" x14ac:dyDescent="0.25">
      <c r="A207" s="2">
        <v>45470.516261574077</v>
      </c>
      <c r="B207">
        <v>5.8919999999999997E-3</v>
      </c>
    </row>
    <row r="208" spans="1:2" x14ac:dyDescent="0.25">
      <c r="A208" s="2">
        <v>45470.516493055555</v>
      </c>
      <c r="B208">
        <v>5.4530000000000004E-3</v>
      </c>
    </row>
    <row r="209" spans="1:2" x14ac:dyDescent="0.25">
      <c r="A209" s="2">
        <v>45470.516724537039</v>
      </c>
      <c r="B209">
        <v>5.8869999999999999E-3</v>
      </c>
    </row>
    <row r="210" spans="1:2" x14ac:dyDescent="0.25">
      <c r="A210" s="2">
        <v>45470.516956018517</v>
      </c>
      <c r="B210">
        <v>5.1900000000000002E-3</v>
      </c>
    </row>
    <row r="211" spans="1:2" x14ac:dyDescent="0.25">
      <c r="A211" s="2">
        <v>45470.517187500001</v>
      </c>
      <c r="B211">
        <v>6.5399999999999998E-3</v>
      </c>
    </row>
    <row r="212" spans="1:2" x14ac:dyDescent="0.25">
      <c r="A212" s="2">
        <v>45470.517418981479</v>
      </c>
      <c r="B212">
        <v>5.6379999999999998E-3</v>
      </c>
    </row>
    <row r="213" spans="1:2" x14ac:dyDescent="0.25">
      <c r="A213" s="2">
        <v>45470.517650462964</v>
      </c>
      <c r="B213">
        <v>5.3049999999999998E-3</v>
      </c>
    </row>
    <row r="214" spans="1:2" x14ac:dyDescent="0.25">
      <c r="A214" s="2">
        <v>45470.517881944441</v>
      </c>
      <c r="B214">
        <v>6.012E-3</v>
      </c>
    </row>
    <row r="215" spans="1:2" x14ac:dyDescent="0.25">
      <c r="A215" s="2">
        <v>45470.518113425926</v>
      </c>
      <c r="B215">
        <v>5.5880000000000001E-3</v>
      </c>
    </row>
    <row r="216" spans="1:2" x14ac:dyDescent="0.25">
      <c r="A216" s="2">
        <v>45470.51834490741</v>
      </c>
      <c r="B216">
        <v>5.8529999999999997E-3</v>
      </c>
    </row>
    <row r="217" spans="1:2" x14ac:dyDescent="0.25">
      <c r="A217" s="2">
        <v>45470.518576388888</v>
      </c>
      <c r="B217">
        <v>5.084E-3</v>
      </c>
    </row>
    <row r="218" spans="1:2" x14ac:dyDescent="0.25">
      <c r="A218" s="2">
        <v>45470.518807870372</v>
      </c>
      <c r="B218">
        <v>5.8729999999999997E-3</v>
      </c>
    </row>
    <row r="219" spans="1:2" x14ac:dyDescent="0.25">
      <c r="A219" s="2">
        <v>45470.51903935185</v>
      </c>
      <c r="B219">
        <v>5.9719999999999999E-3</v>
      </c>
    </row>
    <row r="220" spans="1:2" x14ac:dyDescent="0.25">
      <c r="A220" s="2">
        <v>45470.519270833334</v>
      </c>
      <c r="B220">
        <v>6.0870000000000004E-3</v>
      </c>
    </row>
    <row r="221" spans="1:2" x14ac:dyDescent="0.25">
      <c r="A221" s="2">
        <v>45470.519502314812</v>
      </c>
      <c r="B221">
        <v>6.2160000000000002E-3</v>
      </c>
    </row>
    <row r="222" spans="1:2" x14ac:dyDescent="0.25">
      <c r="A222" s="2">
        <v>45470.519733796296</v>
      </c>
      <c r="B222">
        <v>6.2680000000000001E-3</v>
      </c>
    </row>
    <row r="223" spans="1:2" x14ac:dyDescent="0.25">
      <c r="A223" s="2">
        <v>45470.519965277781</v>
      </c>
      <c r="B223">
        <v>7.0070000000000002E-3</v>
      </c>
    </row>
    <row r="224" spans="1:2" x14ac:dyDescent="0.25">
      <c r="A224" s="2">
        <v>45470.520196759258</v>
      </c>
      <c r="B224">
        <v>6.522E-3</v>
      </c>
    </row>
    <row r="225" spans="1:2" x14ac:dyDescent="0.25">
      <c r="A225" s="2">
        <v>45470.520428240743</v>
      </c>
      <c r="B225">
        <v>5.9519999999999998E-3</v>
      </c>
    </row>
    <row r="226" spans="1:2" x14ac:dyDescent="0.25">
      <c r="A226" s="2">
        <v>45470.52065972222</v>
      </c>
      <c r="B226">
        <v>5.4549999999999998E-3</v>
      </c>
    </row>
    <row r="227" spans="1:2" x14ac:dyDescent="0.25">
      <c r="A227" s="2">
        <v>45470.520891203705</v>
      </c>
      <c r="B227">
        <v>6.3720000000000001E-3</v>
      </c>
    </row>
    <row r="228" spans="1:2" x14ac:dyDescent="0.25">
      <c r="A228" s="2">
        <v>45470.521122685182</v>
      </c>
      <c r="B228">
        <v>5.8539999999999998E-3</v>
      </c>
    </row>
    <row r="229" spans="1:2" x14ac:dyDescent="0.25">
      <c r="A229" s="2">
        <v>45470.521354166667</v>
      </c>
      <c r="B229">
        <v>5.6109999999999997E-3</v>
      </c>
    </row>
    <row r="230" spans="1:2" x14ac:dyDescent="0.25">
      <c r="A230" s="2">
        <v>45470.521585648145</v>
      </c>
      <c r="B230">
        <v>6.3119999999999999E-3</v>
      </c>
    </row>
    <row r="231" spans="1:2" x14ac:dyDescent="0.25">
      <c r="A231" s="2">
        <v>45470.521817129629</v>
      </c>
      <c r="B231">
        <v>6.0590000000000001E-3</v>
      </c>
    </row>
    <row r="232" spans="1:2" x14ac:dyDescent="0.25">
      <c r="A232" s="2">
        <v>45470.522048611114</v>
      </c>
      <c r="B232">
        <v>5.9899999999999997E-3</v>
      </c>
    </row>
    <row r="233" spans="1:2" x14ac:dyDescent="0.25">
      <c r="A233" s="2">
        <v>45470.522280092591</v>
      </c>
      <c r="B233">
        <v>6.0489999999999997E-3</v>
      </c>
    </row>
    <row r="234" spans="1:2" x14ac:dyDescent="0.25">
      <c r="A234" s="2">
        <v>45470.522511574076</v>
      </c>
      <c r="B234">
        <v>5.182E-3</v>
      </c>
    </row>
    <row r="235" spans="1:2" x14ac:dyDescent="0.25">
      <c r="A235" s="2">
        <v>45470.522743055553</v>
      </c>
      <c r="B235">
        <v>6.4840000000000002E-3</v>
      </c>
    </row>
    <row r="236" spans="1:2" x14ac:dyDescent="0.25">
      <c r="A236" s="2">
        <v>45470.522974537038</v>
      </c>
      <c r="B236">
        <v>5.45E-3</v>
      </c>
    </row>
    <row r="237" spans="1:2" x14ac:dyDescent="0.25">
      <c r="A237" s="2">
        <v>45470.523206018515</v>
      </c>
      <c r="B237">
        <v>5.7039999999999999E-3</v>
      </c>
    </row>
    <row r="238" spans="1:2" x14ac:dyDescent="0.25">
      <c r="A238" s="2">
        <v>45470.5234375</v>
      </c>
      <c r="B238">
        <v>5.7460000000000002E-3</v>
      </c>
    </row>
    <row r="239" spans="1:2" x14ac:dyDescent="0.25">
      <c r="A239" s="2">
        <v>45470.523668981485</v>
      </c>
      <c r="B239">
        <v>6.0749999999999997E-3</v>
      </c>
    </row>
    <row r="240" spans="1:2" x14ac:dyDescent="0.25">
      <c r="A240" s="2">
        <v>45470.523900462962</v>
      </c>
      <c r="B240">
        <v>5.8859999999999997E-3</v>
      </c>
    </row>
    <row r="241" spans="1:2" x14ac:dyDescent="0.25">
      <c r="A241" s="2">
        <v>45470.524131944447</v>
      </c>
      <c r="B241">
        <v>7.3419999999999996E-3</v>
      </c>
    </row>
    <row r="242" spans="1:2" x14ac:dyDescent="0.25">
      <c r="A242" s="2">
        <v>45470.524363425924</v>
      </c>
      <c r="B242">
        <v>6.6680000000000003E-3</v>
      </c>
    </row>
    <row r="243" spans="1:2" x14ac:dyDescent="0.25">
      <c r="A243" s="2">
        <v>45470.524594907409</v>
      </c>
      <c r="B243">
        <v>6.7510000000000001E-3</v>
      </c>
    </row>
    <row r="244" spans="1:2" x14ac:dyDescent="0.25">
      <c r="A244" s="2">
        <v>45470.524826388886</v>
      </c>
      <c r="B244">
        <v>6.2449999999999997E-3</v>
      </c>
    </row>
    <row r="245" spans="1:2" x14ac:dyDescent="0.25">
      <c r="A245" s="2">
        <v>45470.525057870371</v>
      </c>
      <c r="B245">
        <v>6.9449999999999998E-3</v>
      </c>
    </row>
    <row r="246" spans="1:2" x14ac:dyDescent="0.25">
      <c r="A246" s="2">
        <v>45470.525289351855</v>
      </c>
      <c r="B246">
        <v>5.9069999999999999E-3</v>
      </c>
    </row>
    <row r="247" spans="1:2" x14ac:dyDescent="0.25">
      <c r="A247" s="2">
        <v>45470.525520833333</v>
      </c>
      <c r="B247">
        <v>6.0070000000000002E-3</v>
      </c>
    </row>
    <row r="248" spans="1:2" x14ac:dyDescent="0.25">
      <c r="A248" s="2">
        <v>45470.525752314818</v>
      </c>
      <c r="B248">
        <v>6.816E-3</v>
      </c>
    </row>
    <row r="249" spans="1:2" x14ac:dyDescent="0.25">
      <c r="A249" s="2">
        <v>45470.525983796295</v>
      </c>
      <c r="B249">
        <v>6.1399999999999996E-3</v>
      </c>
    </row>
    <row r="250" spans="1:2" x14ac:dyDescent="0.25">
      <c r="A250" s="2">
        <v>45470.52621527778</v>
      </c>
      <c r="B250">
        <v>6.4850000000000003E-3</v>
      </c>
    </row>
    <row r="251" spans="1:2" x14ac:dyDescent="0.25">
      <c r="A251" s="2">
        <v>45470.526446759257</v>
      </c>
      <c r="B251">
        <v>6.5779999999999996E-3</v>
      </c>
    </row>
    <row r="252" spans="1:2" x14ac:dyDescent="0.25">
      <c r="A252" s="2">
        <v>45470.526678240742</v>
      </c>
      <c r="B252">
        <v>7.1050000000000002E-3</v>
      </c>
    </row>
    <row r="253" spans="1:2" x14ac:dyDescent="0.25">
      <c r="A253" s="2">
        <v>45470.526909722219</v>
      </c>
      <c r="B253">
        <v>6.2350000000000001E-3</v>
      </c>
    </row>
    <row r="254" spans="1:2" x14ac:dyDescent="0.25">
      <c r="A254" s="2">
        <v>45470.527141203704</v>
      </c>
      <c r="B254">
        <v>6.5960000000000003E-3</v>
      </c>
    </row>
    <row r="255" spans="1:2" x14ac:dyDescent="0.25">
      <c r="A255" s="2">
        <v>45470.527372685188</v>
      </c>
      <c r="B255">
        <v>7.1650000000000004E-3</v>
      </c>
    </row>
    <row r="256" spans="1:2" x14ac:dyDescent="0.25">
      <c r="A256" s="2">
        <v>45470.527604166666</v>
      </c>
      <c r="B256">
        <v>6.914E-3</v>
      </c>
    </row>
    <row r="257" spans="1:2" x14ac:dyDescent="0.25">
      <c r="A257" s="2">
        <v>45470.52783564815</v>
      </c>
      <c r="B257">
        <v>7.4159999999999998E-3</v>
      </c>
    </row>
    <row r="258" spans="1:2" x14ac:dyDescent="0.25">
      <c r="A258" s="2">
        <v>45470.528067129628</v>
      </c>
      <c r="B258">
        <v>6.5669999999999999E-3</v>
      </c>
    </row>
    <row r="259" spans="1:2" x14ac:dyDescent="0.25">
      <c r="A259" s="2">
        <v>45470.528298611112</v>
      </c>
      <c r="B259">
        <v>6.2810000000000001E-3</v>
      </c>
    </row>
    <row r="260" spans="1:2" x14ac:dyDescent="0.25">
      <c r="A260" s="2">
        <v>45470.52853009259</v>
      </c>
      <c r="B260">
        <v>7.4409999999999997E-3</v>
      </c>
    </row>
    <row r="261" spans="1:2" x14ac:dyDescent="0.25">
      <c r="A261" s="2">
        <v>45470.528761574074</v>
      </c>
      <c r="B261">
        <v>7.0780000000000001E-3</v>
      </c>
    </row>
    <row r="262" spans="1:2" x14ac:dyDescent="0.25">
      <c r="A262" s="2">
        <v>45470.528993055559</v>
      </c>
      <c r="B262">
        <v>6.6670000000000002E-3</v>
      </c>
    </row>
    <row r="263" spans="1:2" x14ac:dyDescent="0.25">
      <c r="A263" s="2">
        <v>45470.529224537036</v>
      </c>
      <c r="B263">
        <v>6.9890000000000004E-3</v>
      </c>
    </row>
    <row r="264" spans="1:2" x14ac:dyDescent="0.25">
      <c r="A264" s="2">
        <v>45470.529456018521</v>
      </c>
      <c r="B264">
        <v>6.6649999999999999E-3</v>
      </c>
    </row>
    <row r="265" spans="1:2" x14ac:dyDescent="0.25">
      <c r="A265" s="2">
        <v>45470.529687499999</v>
      </c>
      <c r="B265">
        <v>7.254E-3</v>
      </c>
    </row>
    <row r="266" spans="1:2" x14ac:dyDescent="0.25">
      <c r="A266" s="2">
        <v>45470.529918981483</v>
      </c>
      <c r="B266">
        <v>7.0679999999999996E-3</v>
      </c>
    </row>
    <row r="267" spans="1:2" x14ac:dyDescent="0.25">
      <c r="A267" s="2">
        <v>45470.530150462961</v>
      </c>
      <c r="B267">
        <v>7.561E-3</v>
      </c>
    </row>
    <row r="268" spans="1:2" x14ac:dyDescent="0.25">
      <c r="A268" s="2">
        <v>45470.530381944445</v>
      </c>
      <c r="B268">
        <v>6.973E-3</v>
      </c>
    </row>
    <row r="269" spans="1:2" x14ac:dyDescent="0.25">
      <c r="A269" s="2">
        <v>45470.530613425923</v>
      </c>
      <c r="B269">
        <v>7.0949999999999997E-3</v>
      </c>
    </row>
    <row r="270" spans="1:2" x14ac:dyDescent="0.25">
      <c r="A270" s="2">
        <v>45470.530844907407</v>
      </c>
      <c r="B270">
        <v>5.9930000000000001E-3</v>
      </c>
    </row>
    <row r="271" spans="1:2" x14ac:dyDescent="0.25">
      <c r="A271" s="2">
        <v>45470.531076388892</v>
      </c>
      <c r="B271">
        <v>6.8300000000000001E-3</v>
      </c>
    </row>
    <row r="272" spans="1:2" x14ac:dyDescent="0.25">
      <c r="A272" s="2">
        <v>45470.531307870369</v>
      </c>
      <c r="B272">
        <v>6.7970000000000001E-3</v>
      </c>
    </row>
    <row r="273" spans="1:2" x14ac:dyDescent="0.25">
      <c r="A273" s="2">
        <v>45470.531539351854</v>
      </c>
      <c r="B273">
        <v>6.9040000000000004E-3</v>
      </c>
    </row>
    <row r="274" spans="1:2" x14ac:dyDescent="0.25">
      <c r="A274" s="2">
        <v>45470.531770833331</v>
      </c>
      <c r="B274">
        <v>7.0730000000000003E-3</v>
      </c>
    </row>
    <row r="275" spans="1:2" x14ac:dyDescent="0.25">
      <c r="A275" s="2">
        <v>45470.532002314816</v>
      </c>
      <c r="B275">
        <v>6.502E-3</v>
      </c>
    </row>
    <row r="276" spans="1:2" x14ac:dyDescent="0.25">
      <c r="A276" s="2">
        <v>45470.532233796293</v>
      </c>
      <c r="B276">
        <v>6.685E-3</v>
      </c>
    </row>
    <row r="277" spans="1:2" x14ac:dyDescent="0.25">
      <c r="A277" s="2">
        <v>45470.532465277778</v>
      </c>
      <c r="B277">
        <v>6.2350000000000001E-3</v>
      </c>
    </row>
    <row r="278" spans="1:2" x14ac:dyDescent="0.25">
      <c r="A278" s="2">
        <v>45470.532696759263</v>
      </c>
      <c r="B278">
        <v>6.5560000000000002E-3</v>
      </c>
    </row>
    <row r="279" spans="1:2" x14ac:dyDescent="0.25">
      <c r="A279" s="2">
        <v>45470.53292824074</v>
      </c>
      <c r="B279">
        <v>6.1500000000000001E-3</v>
      </c>
    </row>
    <row r="280" spans="1:2" x14ac:dyDescent="0.25">
      <c r="A280" s="2">
        <v>45470.533159722225</v>
      </c>
      <c r="B280">
        <v>6.8250000000000003E-3</v>
      </c>
    </row>
    <row r="281" spans="1:2" x14ac:dyDescent="0.25">
      <c r="A281" s="2">
        <v>45470.533391203702</v>
      </c>
      <c r="B281">
        <v>6.7219999999999997E-3</v>
      </c>
    </row>
    <row r="282" spans="1:2" x14ac:dyDescent="0.25">
      <c r="A282" s="2">
        <v>45470.533622685187</v>
      </c>
      <c r="B282">
        <v>6.5550000000000001E-3</v>
      </c>
    </row>
    <row r="283" spans="1:2" x14ac:dyDescent="0.25">
      <c r="A283" s="2">
        <v>45470.533854166664</v>
      </c>
      <c r="B283">
        <v>6.875E-3</v>
      </c>
    </row>
    <row r="284" spans="1:2" x14ac:dyDescent="0.25">
      <c r="A284" s="2">
        <v>45470.534085648149</v>
      </c>
      <c r="B284">
        <v>7.1999999999999998E-3</v>
      </c>
    </row>
    <row r="285" spans="1:2" x14ac:dyDescent="0.25">
      <c r="A285" s="2">
        <v>45470.534317129626</v>
      </c>
      <c r="B285">
        <v>6.8649999999999996E-3</v>
      </c>
    </row>
    <row r="286" spans="1:2" x14ac:dyDescent="0.25">
      <c r="A286" s="2">
        <v>45470.534548611111</v>
      </c>
      <c r="B286">
        <v>8.2229999999999994E-3</v>
      </c>
    </row>
    <row r="287" spans="1:2" x14ac:dyDescent="0.25">
      <c r="A287" s="2">
        <v>45470.534780092596</v>
      </c>
      <c r="B287">
        <v>8.2900000000000005E-3</v>
      </c>
    </row>
    <row r="288" spans="1:2" x14ac:dyDescent="0.25">
      <c r="A288" s="2">
        <v>45470.535011574073</v>
      </c>
      <c r="B288">
        <v>7.7970000000000001E-3</v>
      </c>
    </row>
    <row r="289" spans="1:2" x14ac:dyDescent="0.25">
      <c r="A289" s="2">
        <v>45470.535243055558</v>
      </c>
      <c r="B289">
        <v>8.0319999999999992E-3</v>
      </c>
    </row>
    <row r="290" spans="1:2" x14ac:dyDescent="0.25">
      <c r="A290" s="2">
        <v>45470.535474537035</v>
      </c>
      <c r="B290">
        <v>7.4830000000000001E-3</v>
      </c>
    </row>
    <row r="291" spans="1:2" x14ac:dyDescent="0.25">
      <c r="A291" s="2">
        <v>45470.53570601852</v>
      </c>
      <c r="B291">
        <v>8.1930000000000006E-3</v>
      </c>
    </row>
    <row r="292" spans="1:2" x14ac:dyDescent="0.25">
      <c r="A292" s="2">
        <v>45470.535937499997</v>
      </c>
      <c r="B292">
        <v>7.5770000000000004E-3</v>
      </c>
    </row>
    <row r="293" spans="1:2" x14ac:dyDescent="0.25">
      <c r="A293" s="2">
        <v>45470.536168981482</v>
      </c>
      <c r="B293">
        <v>7.5310000000000004E-3</v>
      </c>
    </row>
    <row r="294" spans="1:2" x14ac:dyDescent="0.25">
      <c r="A294" s="2">
        <v>45470.536400462966</v>
      </c>
      <c r="B294">
        <v>7.7520000000000002E-3</v>
      </c>
    </row>
    <row r="295" spans="1:2" x14ac:dyDescent="0.25">
      <c r="A295" s="2">
        <v>45470.536631944444</v>
      </c>
      <c r="B295">
        <v>7.6119999999999998E-3</v>
      </c>
    </row>
    <row r="296" spans="1:2" x14ac:dyDescent="0.25">
      <c r="A296" s="2">
        <v>45470.536863425928</v>
      </c>
      <c r="B296">
        <v>7.6360000000000004E-3</v>
      </c>
    </row>
    <row r="297" spans="1:2" x14ac:dyDescent="0.25">
      <c r="A297" s="2">
        <v>45470.537094907406</v>
      </c>
      <c r="B297">
        <v>7.3839999999999999E-3</v>
      </c>
    </row>
    <row r="298" spans="1:2" x14ac:dyDescent="0.25">
      <c r="A298" s="2">
        <v>45470.537326388891</v>
      </c>
      <c r="B298">
        <v>7.6509999999999998E-3</v>
      </c>
    </row>
    <row r="299" spans="1:2" x14ac:dyDescent="0.25">
      <c r="A299" s="2">
        <v>45470.537557870368</v>
      </c>
      <c r="B299">
        <v>8.2839999999999997E-3</v>
      </c>
    </row>
    <row r="300" spans="1:2" x14ac:dyDescent="0.25">
      <c r="A300" s="2">
        <v>45470.537789351853</v>
      </c>
      <c r="B300">
        <v>8.1849999999999996E-3</v>
      </c>
    </row>
    <row r="301" spans="1:2" x14ac:dyDescent="0.25">
      <c r="A301" s="2">
        <v>45470.53802083333</v>
      </c>
      <c r="B301">
        <v>8.0350000000000005E-3</v>
      </c>
    </row>
    <row r="302" spans="1:2" x14ac:dyDescent="0.25">
      <c r="A302" s="2">
        <v>45470.538252314815</v>
      </c>
      <c r="B302">
        <v>7.3819999999999997E-3</v>
      </c>
    </row>
    <row r="303" spans="1:2" x14ac:dyDescent="0.25">
      <c r="A303" s="2">
        <v>45470.538483796299</v>
      </c>
      <c r="B303">
        <v>8.0099999999999998E-3</v>
      </c>
    </row>
    <row r="304" spans="1:2" x14ac:dyDescent="0.25">
      <c r="A304" s="2">
        <v>45470.538715277777</v>
      </c>
      <c r="B304">
        <v>7.737E-3</v>
      </c>
    </row>
    <row r="305" spans="1:2" x14ac:dyDescent="0.25">
      <c r="A305" s="2">
        <v>45470.538946759261</v>
      </c>
      <c r="B305">
        <v>7.3920000000000001E-3</v>
      </c>
    </row>
    <row r="306" spans="1:2" x14ac:dyDescent="0.25">
      <c r="A306" s="2">
        <v>45470.539178240739</v>
      </c>
      <c r="B306">
        <v>7.9609999999999993E-3</v>
      </c>
    </row>
    <row r="307" spans="1:2" x14ac:dyDescent="0.25">
      <c r="A307" s="2">
        <v>45470.539409722223</v>
      </c>
      <c r="B307">
        <v>8.0149999999999996E-3</v>
      </c>
    </row>
    <row r="308" spans="1:2" x14ac:dyDescent="0.25">
      <c r="A308" s="2">
        <v>45470.539641203701</v>
      </c>
      <c r="B308">
        <v>7.8879999999999992E-3</v>
      </c>
    </row>
    <row r="309" spans="1:2" x14ac:dyDescent="0.25">
      <c r="A309" s="2">
        <v>45470.539872685185</v>
      </c>
      <c r="B309">
        <v>7.731E-3</v>
      </c>
    </row>
    <row r="310" spans="1:2" x14ac:dyDescent="0.25">
      <c r="A310" s="2">
        <v>45470.54010416667</v>
      </c>
      <c r="B310">
        <v>8.1630000000000001E-3</v>
      </c>
    </row>
    <row r="311" spans="1:2" x14ac:dyDescent="0.25">
      <c r="A311" s="2">
        <v>45470.540335648147</v>
      </c>
      <c r="B311">
        <v>7.8820000000000001E-3</v>
      </c>
    </row>
    <row r="312" spans="1:2" x14ac:dyDescent="0.25">
      <c r="A312" s="2">
        <v>45470.540567129632</v>
      </c>
      <c r="B312">
        <v>7.3280000000000003E-3</v>
      </c>
    </row>
    <row r="313" spans="1:2" x14ac:dyDescent="0.25">
      <c r="A313" s="2">
        <v>45470.540798611109</v>
      </c>
      <c r="B313">
        <v>8.1209999999999997E-3</v>
      </c>
    </row>
    <row r="314" spans="1:2" x14ac:dyDescent="0.25">
      <c r="A314" s="2">
        <v>45470.541030092594</v>
      </c>
      <c r="B314">
        <v>7.9869999999999993E-3</v>
      </c>
    </row>
    <row r="315" spans="1:2" x14ac:dyDescent="0.25">
      <c r="A315" s="2">
        <v>45470.541261574072</v>
      </c>
      <c r="B315">
        <v>7.3860000000000002E-3</v>
      </c>
    </row>
    <row r="316" spans="1:2" x14ac:dyDescent="0.25">
      <c r="A316" s="2">
        <v>45470.541493055556</v>
      </c>
      <c r="B316">
        <v>7.4819999999999999E-3</v>
      </c>
    </row>
    <row r="317" spans="1:2" x14ac:dyDescent="0.25">
      <c r="A317" s="2">
        <v>45470.541724537034</v>
      </c>
      <c r="B317">
        <v>7.6449999999999999E-3</v>
      </c>
    </row>
    <row r="318" spans="1:2" x14ac:dyDescent="0.25">
      <c r="A318" s="2">
        <v>45470.541956018518</v>
      </c>
      <c r="B318">
        <v>7.6059999999999999E-3</v>
      </c>
    </row>
    <row r="319" spans="1:2" x14ac:dyDescent="0.25">
      <c r="A319" s="2">
        <v>45470.542187500003</v>
      </c>
      <c r="B319">
        <v>7.5979999999999997E-3</v>
      </c>
    </row>
    <row r="320" spans="1:2" x14ac:dyDescent="0.25">
      <c r="A320" s="2">
        <v>45470.54241898148</v>
      </c>
      <c r="B320">
        <v>7.5929999999999999E-3</v>
      </c>
    </row>
    <row r="321" spans="1:2" x14ac:dyDescent="0.25">
      <c r="A321" s="2">
        <v>45470.542650462965</v>
      </c>
      <c r="B321">
        <v>7.2560000000000003E-3</v>
      </c>
    </row>
    <row r="322" spans="1:2" x14ac:dyDescent="0.25">
      <c r="A322" s="2">
        <v>45470.542881944442</v>
      </c>
      <c r="B322">
        <v>7.8969999999999995E-3</v>
      </c>
    </row>
    <row r="323" spans="1:2" x14ac:dyDescent="0.25">
      <c r="A323" s="2">
        <v>45470.543113425927</v>
      </c>
      <c r="B323">
        <v>7.4679999999999998E-3</v>
      </c>
    </row>
    <row r="324" spans="1:2" x14ac:dyDescent="0.25">
      <c r="A324" s="2">
        <v>45470.543344907404</v>
      </c>
      <c r="B324">
        <v>7.757E-3</v>
      </c>
    </row>
    <row r="325" spans="1:2" x14ac:dyDescent="0.25">
      <c r="A325" s="2">
        <v>45470.543576388889</v>
      </c>
      <c r="B325">
        <v>7.7850000000000003E-3</v>
      </c>
    </row>
    <row r="326" spans="1:2" x14ac:dyDescent="0.25">
      <c r="A326" s="2">
        <v>45470.543807870374</v>
      </c>
      <c r="B326">
        <v>8.2520000000000007E-3</v>
      </c>
    </row>
    <row r="327" spans="1:2" x14ac:dyDescent="0.25">
      <c r="A327" s="2">
        <v>45470.544039351851</v>
      </c>
      <c r="B327">
        <v>7.9810000000000002E-3</v>
      </c>
    </row>
    <row r="328" spans="1:2" x14ac:dyDescent="0.25">
      <c r="A328" s="2">
        <v>45470.544270833336</v>
      </c>
      <c r="B328">
        <v>7.4900000000000001E-3</v>
      </c>
    </row>
    <row r="329" spans="1:2" x14ac:dyDescent="0.25">
      <c r="A329" s="2">
        <v>45470.544502314813</v>
      </c>
      <c r="B329">
        <v>7.5449999999999996E-3</v>
      </c>
    </row>
    <row r="330" spans="1:2" x14ac:dyDescent="0.25">
      <c r="A330" s="2">
        <v>45470.544733796298</v>
      </c>
      <c r="B330">
        <v>7.6080000000000002E-3</v>
      </c>
    </row>
    <row r="331" spans="1:2" x14ac:dyDescent="0.25">
      <c r="A331" s="2">
        <v>45470.544965277775</v>
      </c>
      <c r="B331">
        <v>7.7079999999999996E-3</v>
      </c>
    </row>
    <row r="332" spans="1:2" x14ac:dyDescent="0.25">
      <c r="A332" s="2">
        <v>45470.54519675926</v>
      </c>
      <c r="B332">
        <v>7.8370000000000002E-3</v>
      </c>
    </row>
    <row r="333" spans="1:2" x14ac:dyDescent="0.25">
      <c r="A333" s="2">
        <v>45470.545428240737</v>
      </c>
      <c r="B333">
        <v>7.8709999999999995E-3</v>
      </c>
    </row>
    <row r="334" spans="1:2" x14ac:dyDescent="0.25">
      <c r="A334" s="2">
        <v>45470.545659722222</v>
      </c>
      <c r="B334">
        <v>7.5040000000000003E-3</v>
      </c>
    </row>
    <row r="335" spans="1:2" x14ac:dyDescent="0.25">
      <c r="A335" s="2">
        <v>45470.545891203707</v>
      </c>
      <c r="B335">
        <v>7.9039999999999996E-3</v>
      </c>
    </row>
    <row r="336" spans="1:2" x14ac:dyDescent="0.25">
      <c r="A336" s="2">
        <v>45470.546122685184</v>
      </c>
      <c r="B336">
        <v>8.2089999999999993E-3</v>
      </c>
    </row>
    <row r="337" spans="1:2" x14ac:dyDescent="0.25">
      <c r="A337" s="2">
        <v>45470.546354166669</v>
      </c>
      <c r="B337">
        <v>8.0669999999999995E-3</v>
      </c>
    </row>
    <row r="338" spans="1:2" x14ac:dyDescent="0.25">
      <c r="A338" s="2">
        <v>45470.546585648146</v>
      </c>
      <c r="B338">
        <v>8.3669999999999994E-3</v>
      </c>
    </row>
    <row r="339" spans="1:2" x14ac:dyDescent="0.25">
      <c r="A339" s="2">
        <v>45470.546817129631</v>
      </c>
      <c r="B339">
        <v>9.0930000000000004E-3</v>
      </c>
    </row>
    <row r="340" spans="1:2" x14ac:dyDescent="0.25">
      <c r="A340" s="2">
        <v>45470.547048611108</v>
      </c>
      <c r="B340">
        <v>9.1020000000000007E-3</v>
      </c>
    </row>
    <row r="341" spans="1:2" x14ac:dyDescent="0.25">
      <c r="A341" s="2">
        <v>45470.547280092593</v>
      </c>
      <c r="B341">
        <v>9.9590000000000008E-3</v>
      </c>
    </row>
    <row r="342" spans="1:2" x14ac:dyDescent="0.25">
      <c r="A342" s="2">
        <v>45470.547511574077</v>
      </c>
      <c r="B342">
        <v>9.8019999999999999E-3</v>
      </c>
    </row>
    <row r="343" spans="1:2" x14ac:dyDescent="0.25">
      <c r="A343" s="2">
        <v>45470.547743055555</v>
      </c>
      <c r="B343">
        <v>1.0187999999999999E-2</v>
      </c>
    </row>
    <row r="344" spans="1:2" x14ac:dyDescent="0.25">
      <c r="A344" s="2">
        <v>45470.547974537039</v>
      </c>
      <c r="B344">
        <v>9.7149999999999997E-3</v>
      </c>
    </row>
    <row r="345" spans="1:2" x14ac:dyDescent="0.25">
      <c r="A345" s="2">
        <v>45470.548206018517</v>
      </c>
      <c r="B345">
        <v>9.8239999999999994E-3</v>
      </c>
    </row>
    <row r="346" spans="1:2" x14ac:dyDescent="0.25">
      <c r="A346" s="2">
        <v>45470.548437500001</v>
      </c>
      <c r="B346">
        <v>9.5499999999999995E-3</v>
      </c>
    </row>
    <row r="347" spans="1:2" x14ac:dyDescent="0.25">
      <c r="A347" s="2">
        <v>45470.548668981479</v>
      </c>
      <c r="B347">
        <v>9.9640000000000006E-3</v>
      </c>
    </row>
    <row r="348" spans="1:2" x14ac:dyDescent="0.25">
      <c r="A348" s="2">
        <v>45470.548900462964</v>
      </c>
      <c r="B348">
        <v>9.8569999999999994E-3</v>
      </c>
    </row>
    <row r="349" spans="1:2" x14ac:dyDescent="0.25">
      <c r="A349" s="2">
        <v>45470.549131944441</v>
      </c>
      <c r="B349">
        <v>9.7199999999999995E-3</v>
      </c>
    </row>
    <row r="350" spans="1:2" x14ac:dyDescent="0.25">
      <c r="A350" s="2">
        <v>45470.549363425926</v>
      </c>
      <c r="B350">
        <v>9.0889999999999999E-3</v>
      </c>
    </row>
    <row r="351" spans="1:2" x14ac:dyDescent="0.25">
      <c r="A351" s="2">
        <v>45470.54959490741</v>
      </c>
      <c r="B351">
        <v>9.3980000000000001E-3</v>
      </c>
    </row>
    <row r="352" spans="1:2" x14ac:dyDescent="0.25">
      <c r="A352" s="2">
        <v>45470.549826388888</v>
      </c>
      <c r="B352">
        <v>9.2659999999999999E-3</v>
      </c>
    </row>
    <row r="353" spans="1:2" x14ac:dyDescent="0.25">
      <c r="A353" s="2">
        <v>45470.550057870372</v>
      </c>
      <c r="B353">
        <v>9.5359999999999993E-3</v>
      </c>
    </row>
    <row r="354" spans="1:2" x14ac:dyDescent="0.25">
      <c r="A354" s="2">
        <v>45470.55028935185</v>
      </c>
      <c r="B354">
        <v>9.417E-3</v>
      </c>
    </row>
    <row r="355" spans="1:2" x14ac:dyDescent="0.25">
      <c r="A355" s="2">
        <v>45470.550520833334</v>
      </c>
      <c r="B355">
        <v>9.1380000000000003E-3</v>
      </c>
    </row>
    <row r="356" spans="1:2" x14ac:dyDescent="0.25">
      <c r="A356" s="2">
        <v>45470.550752314812</v>
      </c>
      <c r="B356">
        <v>9.0519999999999993E-3</v>
      </c>
    </row>
    <row r="357" spans="1:2" x14ac:dyDescent="0.25">
      <c r="A357" s="2">
        <v>45470.550983796296</v>
      </c>
      <c r="B357">
        <v>9.1999999999999998E-3</v>
      </c>
    </row>
    <row r="358" spans="1:2" x14ac:dyDescent="0.25">
      <c r="A358" s="2">
        <v>45470.551215277781</v>
      </c>
      <c r="B358">
        <v>9.4120000000000002E-3</v>
      </c>
    </row>
    <row r="359" spans="1:2" x14ac:dyDescent="0.25">
      <c r="A359" s="2">
        <v>45470.551446759258</v>
      </c>
      <c r="B359">
        <v>9.6930000000000002E-3</v>
      </c>
    </row>
    <row r="360" spans="1:2" x14ac:dyDescent="0.25">
      <c r="A360" s="2">
        <v>45470.551678240743</v>
      </c>
      <c r="B360">
        <v>9.6030000000000004E-3</v>
      </c>
    </row>
    <row r="361" spans="1:2" x14ac:dyDescent="0.25">
      <c r="A361" s="2">
        <v>45470.55190972222</v>
      </c>
      <c r="B361">
        <v>9.1940000000000008E-3</v>
      </c>
    </row>
    <row r="362" spans="1:2" x14ac:dyDescent="0.25">
      <c r="A362" s="2">
        <v>45470.552141203705</v>
      </c>
      <c r="B362">
        <v>9.4730000000000005E-3</v>
      </c>
    </row>
    <row r="363" spans="1:2" x14ac:dyDescent="0.25">
      <c r="A363" s="2">
        <v>45470.552372685182</v>
      </c>
      <c r="B363">
        <v>9.3050000000000008E-3</v>
      </c>
    </row>
    <row r="364" spans="1:2" x14ac:dyDescent="0.25">
      <c r="A364" s="2">
        <v>45470.552604166667</v>
      </c>
      <c r="B364">
        <v>9.5949999999999994E-3</v>
      </c>
    </row>
    <row r="365" spans="1:2" x14ac:dyDescent="0.25">
      <c r="A365" s="2">
        <v>45470.552835648145</v>
      </c>
      <c r="B365">
        <v>9.6839999999999999E-3</v>
      </c>
    </row>
    <row r="366" spans="1:2" x14ac:dyDescent="0.25">
      <c r="A366" s="2">
        <v>45470.553067129629</v>
      </c>
      <c r="B366">
        <v>9.7140000000000004E-3</v>
      </c>
    </row>
    <row r="367" spans="1:2" x14ac:dyDescent="0.25">
      <c r="A367" s="2">
        <v>45470.553298611114</v>
      </c>
      <c r="B367">
        <v>9.051E-3</v>
      </c>
    </row>
    <row r="368" spans="1:2" x14ac:dyDescent="0.25">
      <c r="A368" s="2">
        <v>45470.553530092591</v>
      </c>
      <c r="B368">
        <v>9.4230000000000008E-3</v>
      </c>
    </row>
    <row r="369" spans="1:2" x14ac:dyDescent="0.25">
      <c r="A369" s="2">
        <v>45470.553761574076</v>
      </c>
      <c r="B369">
        <v>9.8969999999999995E-3</v>
      </c>
    </row>
    <row r="370" spans="1:2" x14ac:dyDescent="0.25">
      <c r="A370" s="2">
        <v>45470.553993055553</v>
      </c>
      <c r="B370">
        <v>9.5180000000000004E-3</v>
      </c>
    </row>
    <row r="371" spans="1:2" x14ac:dyDescent="0.25">
      <c r="A371" s="2">
        <v>45470.554224537038</v>
      </c>
      <c r="B371">
        <v>9.3980000000000001E-3</v>
      </c>
    </row>
    <row r="372" spans="1:2" x14ac:dyDescent="0.25">
      <c r="A372" s="2">
        <v>45470.554456018515</v>
      </c>
      <c r="B372">
        <v>9.2090000000000002E-3</v>
      </c>
    </row>
    <row r="373" spans="1:2" x14ac:dyDescent="0.25">
      <c r="A373" s="2">
        <v>45470.5546875</v>
      </c>
      <c r="B373">
        <v>9.2189999999999998E-3</v>
      </c>
    </row>
    <row r="374" spans="1:2" x14ac:dyDescent="0.25">
      <c r="A374" s="2">
        <v>45470.554918981485</v>
      </c>
      <c r="B374">
        <v>9.4680000000000007E-3</v>
      </c>
    </row>
    <row r="375" spans="1:2" x14ac:dyDescent="0.25">
      <c r="A375" s="2">
        <v>45470.555150462962</v>
      </c>
      <c r="B375">
        <v>9.3519999999999992E-3</v>
      </c>
    </row>
    <row r="376" spans="1:2" x14ac:dyDescent="0.25">
      <c r="A376" s="2">
        <v>45470.555381944447</v>
      </c>
      <c r="B376">
        <v>9.6880000000000004E-3</v>
      </c>
    </row>
    <row r="377" spans="1:2" x14ac:dyDescent="0.25">
      <c r="A377" s="2">
        <v>45470.555613425924</v>
      </c>
      <c r="B377">
        <v>9.6729999999999993E-3</v>
      </c>
    </row>
    <row r="378" spans="1:2" x14ac:dyDescent="0.25">
      <c r="A378" s="2">
        <v>45470.555844907409</v>
      </c>
      <c r="B378">
        <v>9.2079999999999992E-3</v>
      </c>
    </row>
    <row r="379" spans="1:2" x14ac:dyDescent="0.25">
      <c r="A379" s="2">
        <v>45470.556076388886</v>
      </c>
      <c r="B379">
        <v>9.5270000000000007E-3</v>
      </c>
    </row>
    <row r="380" spans="1:2" x14ac:dyDescent="0.25">
      <c r="A380" s="2">
        <v>45470.556307870371</v>
      </c>
      <c r="B380">
        <v>1.0034E-2</v>
      </c>
    </row>
    <row r="381" spans="1:2" x14ac:dyDescent="0.25">
      <c r="A381" s="2">
        <v>45470.556539351855</v>
      </c>
      <c r="B381">
        <v>9.4610000000000007E-3</v>
      </c>
    </row>
    <row r="382" spans="1:2" x14ac:dyDescent="0.25">
      <c r="A382" s="2">
        <v>45470.556770833333</v>
      </c>
      <c r="B382">
        <v>9.3390000000000001E-3</v>
      </c>
    </row>
    <row r="383" spans="1:2" x14ac:dyDescent="0.25">
      <c r="A383" s="2">
        <v>45470.557002314818</v>
      </c>
      <c r="B383">
        <v>9.6100000000000005E-3</v>
      </c>
    </row>
    <row r="384" spans="1:2" x14ac:dyDescent="0.25">
      <c r="A384" s="2">
        <v>45470.557233796295</v>
      </c>
      <c r="B384">
        <v>8.966E-3</v>
      </c>
    </row>
    <row r="385" spans="1:2" x14ac:dyDescent="0.25">
      <c r="A385" s="2">
        <v>45470.55746527778</v>
      </c>
      <c r="B385">
        <v>9.4909999999999994E-3</v>
      </c>
    </row>
    <row r="386" spans="1:2" x14ac:dyDescent="0.25">
      <c r="A386" s="2">
        <v>45470.557696759257</v>
      </c>
      <c r="B386">
        <v>9.9740000000000002E-3</v>
      </c>
    </row>
    <row r="387" spans="1:2" x14ac:dyDescent="0.25">
      <c r="A387" s="2">
        <v>45470.557928240742</v>
      </c>
      <c r="B387">
        <v>9.2540000000000001E-3</v>
      </c>
    </row>
    <row r="388" spans="1:2" x14ac:dyDescent="0.25">
      <c r="A388" s="2">
        <v>45470.558159722219</v>
      </c>
      <c r="B388">
        <v>9.1509999999999994E-3</v>
      </c>
    </row>
    <row r="389" spans="1:2" x14ac:dyDescent="0.25">
      <c r="A389" s="2">
        <v>45470.558391203704</v>
      </c>
      <c r="B389">
        <v>9.4330000000000004E-3</v>
      </c>
    </row>
    <row r="390" spans="1:2" x14ac:dyDescent="0.25">
      <c r="A390" s="2">
        <v>45470.558622685188</v>
      </c>
      <c r="B390">
        <v>9.332E-3</v>
      </c>
    </row>
    <row r="391" spans="1:2" x14ac:dyDescent="0.25">
      <c r="A391" s="2">
        <v>45470.558854166666</v>
      </c>
      <c r="B391">
        <v>1.0214000000000001E-2</v>
      </c>
    </row>
    <row r="392" spans="1:2" x14ac:dyDescent="0.25">
      <c r="A392" s="2">
        <v>45470.55908564815</v>
      </c>
      <c r="B392">
        <v>1.0066E-2</v>
      </c>
    </row>
    <row r="393" spans="1:2" x14ac:dyDescent="0.25">
      <c r="A393" s="2">
        <v>45470.559317129628</v>
      </c>
      <c r="B393">
        <v>1.048E-2</v>
      </c>
    </row>
    <row r="394" spans="1:2" x14ac:dyDescent="0.25">
      <c r="A394" s="2">
        <v>45470.559548611112</v>
      </c>
      <c r="B394">
        <v>1.0595E-2</v>
      </c>
    </row>
    <row r="395" spans="1:2" x14ac:dyDescent="0.25">
      <c r="A395" s="2">
        <v>45470.55978009259</v>
      </c>
      <c r="B395">
        <v>1.0433E-2</v>
      </c>
    </row>
    <row r="396" spans="1:2" x14ac:dyDescent="0.25">
      <c r="A396" s="2">
        <v>45470.560011574074</v>
      </c>
      <c r="B396">
        <v>1.0843E-2</v>
      </c>
    </row>
    <row r="397" spans="1:2" x14ac:dyDescent="0.25">
      <c r="A397" s="2">
        <v>45470.560243055559</v>
      </c>
      <c r="B397">
        <v>1.0418999999999999E-2</v>
      </c>
    </row>
    <row r="398" spans="1:2" x14ac:dyDescent="0.25">
      <c r="A398" s="2">
        <v>45470.560474537036</v>
      </c>
      <c r="B398">
        <v>1.0173E-2</v>
      </c>
    </row>
    <row r="399" spans="1:2" x14ac:dyDescent="0.25">
      <c r="A399" s="2">
        <v>45470.560706018521</v>
      </c>
      <c r="B399">
        <v>1.1077999999999999E-2</v>
      </c>
    </row>
    <row r="400" spans="1:2" x14ac:dyDescent="0.25">
      <c r="A400" s="2">
        <v>45470.560937499999</v>
      </c>
      <c r="B400">
        <v>1.0892000000000001E-2</v>
      </c>
    </row>
    <row r="401" spans="1:2" x14ac:dyDescent="0.25">
      <c r="A401" s="2">
        <v>45470.561168981483</v>
      </c>
      <c r="B401">
        <v>1.0101000000000001E-2</v>
      </c>
    </row>
    <row r="402" spans="1:2" x14ac:dyDescent="0.25">
      <c r="A402" s="2">
        <v>45470.561400462961</v>
      </c>
      <c r="B402">
        <v>9.5160000000000002E-3</v>
      </c>
    </row>
    <row r="403" spans="1:2" x14ac:dyDescent="0.25">
      <c r="A403" s="2">
        <v>45470.561631944445</v>
      </c>
      <c r="B403">
        <v>9.9489999999999995E-3</v>
      </c>
    </row>
    <row r="404" spans="1:2" x14ac:dyDescent="0.25">
      <c r="A404" s="2">
        <v>45470.561863425923</v>
      </c>
      <c r="B404">
        <v>1.0055E-2</v>
      </c>
    </row>
    <row r="405" spans="1:2" x14ac:dyDescent="0.25">
      <c r="A405" s="2">
        <v>45470.562094907407</v>
      </c>
      <c r="B405">
        <v>1.0377000000000001E-2</v>
      </c>
    </row>
    <row r="406" spans="1:2" x14ac:dyDescent="0.25">
      <c r="A406" s="2">
        <v>45470.562326388892</v>
      </c>
      <c r="B406">
        <v>1.0553999999999999E-2</v>
      </c>
    </row>
    <row r="407" spans="1:2" x14ac:dyDescent="0.25">
      <c r="A407" s="2">
        <v>45470.562557870369</v>
      </c>
      <c r="B407">
        <v>1.0599000000000001E-2</v>
      </c>
    </row>
    <row r="408" spans="1:2" x14ac:dyDescent="0.25">
      <c r="A408" s="2">
        <v>45470.562789351854</v>
      </c>
      <c r="B408">
        <v>1.0642E-2</v>
      </c>
    </row>
    <row r="409" spans="1:2" x14ac:dyDescent="0.25">
      <c r="A409" s="2">
        <v>45470.563020833331</v>
      </c>
      <c r="B409">
        <v>1.0222999999999999E-2</v>
      </c>
    </row>
    <row r="410" spans="1:2" x14ac:dyDescent="0.25">
      <c r="A410" s="2">
        <v>45470.563252314816</v>
      </c>
      <c r="B410">
        <v>1.0055E-2</v>
      </c>
    </row>
    <row r="411" spans="1:2" x14ac:dyDescent="0.25">
      <c r="A411" s="2">
        <v>45470.563483796293</v>
      </c>
      <c r="B411">
        <v>1.0290000000000001E-2</v>
      </c>
    </row>
    <row r="412" spans="1:2" x14ac:dyDescent="0.25">
      <c r="A412" s="2">
        <v>45470.563715277778</v>
      </c>
      <c r="B412">
        <v>1.0174000000000001E-2</v>
      </c>
    </row>
    <row r="413" spans="1:2" x14ac:dyDescent="0.25">
      <c r="A413" s="2">
        <v>45470.563946759263</v>
      </c>
      <c r="B413">
        <v>1.0328E-2</v>
      </c>
    </row>
    <row r="414" spans="1:2" x14ac:dyDescent="0.25">
      <c r="A414" s="2">
        <v>45470.56417824074</v>
      </c>
      <c r="B414">
        <v>1.0401000000000001E-2</v>
      </c>
    </row>
    <row r="415" spans="1:2" x14ac:dyDescent="0.25">
      <c r="A415" s="2">
        <v>45470.564409722225</v>
      </c>
      <c r="B415">
        <v>1.0376E-2</v>
      </c>
    </row>
    <row r="416" spans="1:2" x14ac:dyDescent="0.25">
      <c r="A416" s="2">
        <v>45470.564641203702</v>
      </c>
      <c r="B416">
        <v>1.0333999999999999E-2</v>
      </c>
    </row>
    <row r="417" spans="1:2" x14ac:dyDescent="0.25">
      <c r="A417" s="2">
        <v>45470.564872685187</v>
      </c>
      <c r="B417">
        <v>1.0448000000000001E-2</v>
      </c>
    </row>
    <row r="418" spans="1:2" x14ac:dyDescent="0.25">
      <c r="A418" s="2">
        <v>45470.565104166664</v>
      </c>
      <c r="B418">
        <v>1.0536999999999999E-2</v>
      </c>
    </row>
    <row r="419" spans="1:2" x14ac:dyDescent="0.25">
      <c r="A419" s="2">
        <v>45470.565335648149</v>
      </c>
      <c r="B419">
        <v>1.0617E-2</v>
      </c>
    </row>
    <row r="420" spans="1:2" x14ac:dyDescent="0.25">
      <c r="A420" s="2">
        <v>45470.565567129626</v>
      </c>
      <c r="B420">
        <v>1.0548999999999999E-2</v>
      </c>
    </row>
    <row r="421" spans="1:2" x14ac:dyDescent="0.25">
      <c r="A421" s="2">
        <v>45470.565798611111</v>
      </c>
      <c r="B421">
        <v>1.0668E-2</v>
      </c>
    </row>
    <row r="422" spans="1:2" x14ac:dyDescent="0.25">
      <c r="A422" s="2">
        <v>45470.566030092596</v>
      </c>
      <c r="B422">
        <v>1.0636E-2</v>
      </c>
    </row>
    <row r="423" spans="1:2" x14ac:dyDescent="0.25">
      <c r="A423" s="2">
        <v>45470.566261574073</v>
      </c>
      <c r="B423">
        <v>1.0616E-2</v>
      </c>
    </row>
    <row r="424" spans="1:2" x14ac:dyDescent="0.25">
      <c r="A424" s="2">
        <v>45470.566493055558</v>
      </c>
      <c r="B424">
        <v>1.0407E-2</v>
      </c>
    </row>
    <row r="425" spans="1:2" x14ac:dyDescent="0.25">
      <c r="A425" s="2">
        <v>45470.566724537035</v>
      </c>
      <c r="B425">
        <v>1.0324E-2</v>
      </c>
    </row>
    <row r="426" spans="1:2" x14ac:dyDescent="0.25">
      <c r="A426" s="2">
        <v>45470.56695601852</v>
      </c>
      <c r="B426">
        <v>1.0636E-2</v>
      </c>
    </row>
    <row r="427" spans="1:2" x14ac:dyDescent="0.25">
      <c r="A427" s="2">
        <v>45470.567187499997</v>
      </c>
      <c r="B427">
        <v>1.0893999999999999E-2</v>
      </c>
    </row>
    <row r="428" spans="1:2" x14ac:dyDescent="0.25">
      <c r="A428" s="2">
        <v>45470.567418981482</v>
      </c>
      <c r="B428">
        <v>1.073E-2</v>
      </c>
    </row>
    <row r="429" spans="1:2" x14ac:dyDescent="0.25">
      <c r="A429" s="2">
        <v>45470.567650462966</v>
      </c>
      <c r="B429">
        <v>1.0527E-2</v>
      </c>
    </row>
    <row r="430" spans="1:2" x14ac:dyDescent="0.25">
      <c r="A430" s="2">
        <v>45470.567881944444</v>
      </c>
      <c r="B430">
        <v>1.0869E-2</v>
      </c>
    </row>
    <row r="431" spans="1:2" x14ac:dyDescent="0.25">
      <c r="A431" s="2">
        <v>45470.568113425928</v>
      </c>
      <c r="B431">
        <v>1.0253999999999999E-2</v>
      </c>
    </row>
    <row r="432" spans="1:2" x14ac:dyDescent="0.25">
      <c r="A432" s="2">
        <v>45470.568344907406</v>
      </c>
      <c r="B432">
        <v>1.0166E-2</v>
      </c>
    </row>
    <row r="433" spans="1:2" x14ac:dyDescent="0.25">
      <c r="A433" s="2">
        <v>45470.568576388891</v>
      </c>
      <c r="B433">
        <v>1.0940999999999999E-2</v>
      </c>
    </row>
    <row r="434" spans="1:2" x14ac:dyDescent="0.25">
      <c r="A434" s="2">
        <v>45470.568807870368</v>
      </c>
      <c r="B434">
        <v>1.0933E-2</v>
      </c>
    </row>
    <row r="435" spans="1:2" x14ac:dyDescent="0.25">
      <c r="A435" s="2">
        <v>45470.569039351853</v>
      </c>
      <c r="B435">
        <v>1.0255999999999999E-2</v>
      </c>
    </row>
    <row r="436" spans="1:2" x14ac:dyDescent="0.25">
      <c r="A436" s="2">
        <v>45470.56927083333</v>
      </c>
      <c r="B436">
        <v>1.078E-2</v>
      </c>
    </row>
    <row r="437" spans="1:2" x14ac:dyDescent="0.25">
      <c r="A437" s="2">
        <v>45470.569502314815</v>
      </c>
      <c r="B437">
        <v>1.0337000000000001E-2</v>
      </c>
    </row>
    <row r="438" spans="1:2" x14ac:dyDescent="0.25">
      <c r="A438" s="2">
        <v>45470.569733796299</v>
      </c>
      <c r="B438">
        <v>1.0907E-2</v>
      </c>
    </row>
    <row r="439" spans="1:2" x14ac:dyDescent="0.25">
      <c r="A439" s="2">
        <v>45470.569965277777</v>
      </c>
      <c r="B439">
        <v>1.0499E-2</v>
      </c>
    </row>
    <row r="440" spans="1:2" x14ac:dyDescent="0.25">
      <c r="A440" s="2">
        <v>45470.570196759261</v>
      </c>
      <c r="B440">
        <v>1.0704E-2</v>
      </c>
    </row>
    <row r="441" spans="1:2" x14ac:dyDescent="0.25">
      <c r="A441" s="2">
        <v>45470.570428240739</v>
      </c>
      <c r="B441">
        <v>1.1004E-2</v>
      </c>
    </row>
    <row r="442" spans="1:2" x14ac:dyDescent="0.25">
      <c r="A442" s="2">
        <v>45470.570659722223</v>
      </c>
      <c r="B442">
        <v>1.1542999999999999E-2</v>
      </c>
    </row>
    <row r="443" spans="1:2" x14ac:dyDescent="0.25">
      <c r="A443" s="2">
        <v>45470.570891203701</v>
      </c>
      <c r="B443">
        <v>1.1547E-2</v>
      </c>
    </row>
    <row r="444" spans="1:2" x14ac:dyDescent="0.25">
      <c r="A444" s="2">
        <v>45470.571122685185</v>
      </c>
      <c r="B444">
        <v>1.0998000000000001E-2</v>
      </c>
    </row>
    <row r="445" spans="1:2" x14ac:dyDescent="0.25">
      <c r="A445" s="2">
        <v>45470.57135416667</v>
      </c>
      <c r="B445">
        <v>1.1859E-2</v>
      </c>
    </row>
    <row r="446" spans="1:2" x14ac:dyDescent="0.25">
      <c r="A446" s="2">
        <v>45470.571585648147</v>
      </c>
      <c r="B446">
        <v>1.1599999999999999E-2</v>
      </c>
    </row>
    <row r="447" spans="1:2" x14ac:dyDescent="0.25">
      <c r="A447" s="2">
        <v>45470.571817129632</v>
      </c>
      <c r="B447">
        <v>1.0943E-2</v>
      </c>
    </row>
    <row r="448" spans="1:2" x14ac:dyDescent="0.25">
      <c r="A448" s="2">
        <v>45470.572048611109</v>
      </c>
      <c r="B448">
        <v>1.1577E-2</v>
      </c>
    </row>
    <row r="449" spans="1:2" x14ac:dyDescent="0.25">
      <c r="A449" s="2">
        <v>45470.572280092594</v>
      </c>
      <c r="B449">
        <v>1.0514000000000001E-2</v>
      </c>
    </row>
    <row r="450" spans="1:2" x14ac:dyDescent="0.25">
      <c r="A450" s="2">
        <v>45470.572511574072</v>
      </c>
      <c r="B450">
        <v>1.056E-2</v>
      </c>
    </row>
    <row r="451" spans="1:2" x14ac:dyDescent="0.25">
      <c r="A451" s="2">
        <v>45470.572743055556</v>
      </c>
      <c r="B451">
        <v>1.1011999999999999E-2</v>
      </c>
    </row>
    <row r="452" spans="1:2" x14ac:dyDescent="0.25">
      <c r="A452" s="2">
        <v>45470.572974537034</v>
      </c>
      <c r="B452">
        <v>1.1133000000000001E-2</v>
      </c>
    </row>
    <row r="453" spans="1:2" x14ac:dyDescent="0.25">
      <c r="A453" s="2">
        <v>45470.573206018518</v>
      </c>
      <c r="B453">
        <v>1.0983E-2</v>
      </c>
    </row>
    <row r="454" spans="1:2" x14ac:dyDescent="0.25">
      <c r="A454" s="2">
        <v>45470.573437500003</v>
      </c>
      <c r="B454">
        <v>1.1195E-2</v>
      </c>
    </row>
    <row r="455" spans="1:2" x14ac:dyDescent="0.25">
      <c r="A455" s="2">
        <v>45470.57366898148</v>
      </c>
      <c r="B455">
        <v>1.1278E-2</v>
      </c>
    </row>
    <row r="456" spans="1:2" x14ac:dyDescent="0.25">
      <c r="A456" s="2">
        <v>45470.573900462965</v>
      </c>
      <c r="B456">
        <v>1.0737999999999999E-2</v>
      </c>
    </row>
    <row r="457" spans="1:2" x14ac:dyDescent="0.25">
      <c r="A457" s="2">
        <v>45470.574131944442</v>
      </c>
      <c r="B457">
        <v>1.1032999999999999E-2</v>
      </c>
    </row>
    <row r="458" spans="1:2" x14ac:dyDescent="0.25">
      <c r="A458" s="2">
        <v>45470.574363425927</v>
      </c>
      <c r="B458">
        <v>1.1258000000000001E-2</v>
      </c>
    </row>
    <row r="459" spans="1:2" x14ac:dyDescent="0.25">
      <c r="A459" s="2">
        <v>45470.574594907404</v>
      </c>
      <c r="B459">
        <v>1.1129E-2</v>
      </c>
    </row>
    <row r="460" spans="1:2" x14ac:dyDescent="0.25">
      <c r="A460" s="2">
        <v>45470.574826388889</v>
      </c>
      <c r="B460">
        <v>1.0888E-2</v>
      </c>
    </row>
    <row r="461" spans="1:2" x14ac:dyDescent="0.25">
      <c r="A461" s="2">
        <v>45470.575057870374</v>
      </c>
      <c r="B461">
        <v>1.1927E-2</v>
      </c>
    </row>
    <row r="462" spans="1:2" x14ac:dyDescent="0.25">
      <c r="A462" s="2">
        <v>45470.575289351851</v>
      </c>
      <c r="B462">
        <v>1.0736000000000001E-2</v>
      </c>
    </row>
    <row r="463" spans="1:2" x14ac:dyDescent="0.25">
      <c r="A463" s="2">
        <v>45470.575520833336</v>
      </c>
      <c r="B463">
        <v>1.0821000000000001E-2</v>
      </c>
    </row>
    <row r="464" spans="1:2" x14ac:dyDescent="0.25">
      <c r="A464" s="2">
        <v>45470.575752314813</v>
      </c>
      <c r="B464">
        <v>1.1972E-2</v>
      </c>
    </row>
    <row r="465" spans="1:2" x14ac:dyDescent="0.25">
      <c r="A465" s="2">
        <v>45470.575983796298</v>
      </c>
      <c r="B465">
        <v>1.1679E-2</v>
      </c>
    </row>
    <row r="466" spans="1:2" x14ac:dyDescent="0.25">
      <c r="A466" s="2">
        <v>45470.576215277775</v>
      </c>
      <c r="B466">
        <v>1.1205E-2</v>
      </c>
    </row>
    <row r="467" spans="1:2" x14ac:dyDescent="0.25">
      <c r="A467" s="2">
        <v>45470.57644675926</v>
      </c>
      <c r="B467">
        <v>1.1205E-2</v>
      </c>
    </row>
    <row r="468" spans="1:2" x14ac:dyDescent="0.25">
      <c r="A468" s="2">
        <v>45470.576678240737</v>
      </c>
      <c r="B468">
        <v>1.1417999999999999E-2</v>
      </c>
    </row>
    <row r="469" spans="1:2" x14ac:dyDescent="0.25">
      <c r="A469" s="2">
        <v>45470.576909722222</v>
      </c>
      <c r="B469">
        <v>1.1429999999999999E-2</v>
      </c>
    </row>
    <row r="470" spans="1:2" x14ac:dyDescent="0.25">
      <c r="A470" s="2">
        <v>45470.577141203707</v>
      </c>
      <c r="B470">
        <v>1.1623E-2</v>
      </c>
    </row>
    <row r="471" spans="1:2" x14ac:dyDescent="0.25">
      <c r="A471" s="2">
        <v>45470.577372685184</v>
      </c>
      <c r="B471">
        <v>1.1783E-2</v>
      </c>
    </row>
    <row r="472" spans="1:2" x14ac:dyDescent="0.25">
      <c r="A472" s="2">
        <v>45470.577604166669</v>
      </c>
      <c r="B472">
        <v>1.1872000000000001E-2</v>
      </c>
    </row>
    <row r="473" spans="1:2" x14ac:dyDescent="0.25">
      <c r="A473" s="2">
        <v>45470.577835648146</v>
      </c>
      <c r="B473">
        <v>1.1820000000000001E-2</v>
      </c>
    </row>
    <row r="474" spans="1:2" x14ac:dyDescent="0.25">
      <c r="A474" s="2">
        <v>45470.578067129631</v>
      </c>
      <c r="B474">
        <v>1.193E-2</v>
      </c>
    </row>
    <row r="475" spans="1:2" x14ac:dyDescent="0.25">
      <c r="A475" s="2">
        <v>45470.578298611108</v>
      </c>
      <c r="B475">
        <v>1.1886000000000001E-2</v>
      </c>
    </row>
    <row r="476" spans="1:2" x14ac:dyDescent="0.25">
      <c r="A476" s="2">
        <v>45470.578530092593</v>
      </c>
      <c r="B476">
        <v>1.2024999999999999E-2</v>
      </c>
    </row>
    <row r="477" spans="1:2" x14ac:dyDescent="0.25">
      <c r="A477" s="2">
        <v>45470.578761574077</v>
      </c>
      <c r="B477">
        <v>1.1903E-2</v>
      </c>
    </row>
    <row r="478" spans="1:2" x14ac:dyDescent="0.25">
      <c r="A478" s="2">
        <v>45470.578993055555</v>
      </c>
      <c r="B478">
        <v>1.1733E-2</v>
      </c>
    </row>
    <row r="479" spans="1:2" x14ac:dyDescent="0.25">
      <c r="A479" s="2">
        <v>45470.579224537039</v>
      </c>
      <c r="B479">
        <v>1.1956E-2</v>
      </c>
    </row>
    <row r="480" spans="1:2" x14ac:dyDescent="0.25">
      <c r="A480" s="2">
        <v>45470.579456018517</v>
      </c>
      <c r="B480">
        <v>1.2102E-2</v>
      </c>
    </row>
    <row r="481" spans="1:2" x14ac:dyDescent="0.25">
      <c r="A481" s="2">
        <v>45470.579687500001</v>
      </c>
      <c r="B481">
        <v>1.209E-2</v>
      </c>
    </row>
    <row r="482" spans="1:2" x14ac:dyDescent="0.25">
      <c r="A482" s="2">
        <v>45470.579918981479</v>
      </c>
      <c r="B482">
        <v>1.2092E-2</v>
      </c>
    </row>
    <row r="483" spans="1:2" x14ac:dyDescent="0.25">
      <c r="A483" s="2">
        <v>45470.580150462964</v>
      </c>
      <c r="B483">
        <v>1.1705E-2</v>
      </c>
    </row>
    <row r="484" spans="1:2" x14ac:dyDescent="0.25">
      <c r="A484" s="2">
        <v>45470.580381944441</v>
      </c>
      <c r="B484">
        <v>1.1795E-2</v>
      </c>
    </row>
    <row r="485" spans="1:2" x14ac:dyDescent="0.25">
      <c r="A485" s="2">
        <v>45470.580613425926</v>
      </c>
      <c r="B485">
        <v>1.1967999999999999E-2</v>
      </c>
    </row>
    <row r="486" spans="1:2" x14ac:dyDescent="0.25">
      <c r="A486" s="2">
        <v>45470.58084490741</v>
      </c>
      <c r="B486">
        <v>1.2038E-2</v>
      </c>
    </row>
    <row r="487" spans="1:2" x14ac:dyDescent="0.25">
      <c r="A487" s="2">
        <v>45470.581076388888</v>
      </c>
      <c r="B487">
        <v>1.1878E-2</v>
      </c>
    </row>
    <row r="488" spans="1:2" x14ac:dyDescent="0.25">
      <c r="A488" s="2">
        <v>45470.581307870372</v>
      </c>
      <c r="B488">
        <v>1.1828999999999999E-2</v>
      </c>
    </row>
    <row r="489" spans="1:2" x14ac:dyDescent="0.25">
      <c r="A489" s="2">
        <v>45470.58153935185</v>
      </c>
      <c r="B489">
        <v>1.1826E-2</v>
      </c>
    </row>
    <row r="490" spans="1:2" x14ac:dyDescent="0.25">
      <c r="A490" s="2">
        <v>45470.581770833334</v>
      </c>
      <c r="B490">
        <v>1.1813000000000001E-2</v>
      </c>
    </row>
    <row r="491" spans="1:2" x14ac:dyDescent="0.25">
      <c r="A491" s="2">
        <v>45470.582002314812</v>
      </c>
      <c r="B491">
        <v>1.1823999999999999E-2</v>
      </c>
    </row>
    <row r="492" spans="1:2" x14ac:dyDescent="0.25">
      <c r="A492" s="2">
        <v>45470.582233796296</v>
      </c>
      <c r="B492">
        <v>1.1958999999999999E-2</v>
      </c>
    </row>
    <row r="493" spans="1:2" x14ac:dyDescent="0.25">
      <c r="A493" s="2">
        <v>45470.582465277781</v>
      </c>
      <c r="B493">
        <v>1.2064E-2</v>
      </c>
    </row>
    <row r="494" spans="1:2" x14ac:dyDescent="0.25">
      <c r="A494" s="2">
        <v>45470.582696759258</v>
      </c>
      <c r="B494">
        <v>1.2095E-2</v>
      </c>
    </row>
    <row r="495" spans="1:2" x14ac:dyDescent="0.25">
      <c r="A495" s="2">
        <v>45470.582928240743</v>
      </c>
      <c r="B495">
        <v>1.2147E-2</v>
      </c>
    </row>
    <row r="496" spans="1:2" x14ac:dyDescent="0.25">
      <c r="A496" s="2">
        <v>45470.58315972222</v>
      </c>
      <c r="B496">
        <v>1.1986999999999999E-2</v>
      </c>
    </row>
    <row r="497" spans="1:2" x14ac:dyDescent="0.25">
      <c r="A497" s="2">
        <v>45470.583391203705</v>
      </c>
      <c r="B497">
        <v>1.1828999999999999E-2</v>
      </c>
    </row>
    <row r="498" spans="1:2" x14ac:dyDescent="0.25">
      <c r="A498" s="2">
        <v>45470.583622685182</v>
      </c>
      <c r="B498">
        <v>1.2042000000000001E-2</v>
      </c>
    </row>
    <row r="499" spans="1:2" x14ac:dyDescent="0.25">
      <c r="A499" s="2">
        <v>45470.583854166667</v>
      </c>
      <c r="B499">
        <v>1.1998999999999999E-2</v>
      </c>
    </row>
    <row r="500" spans="1:2" x14ac:dyDescent="0.25">
      <c r="A500" s="2">
        <v>45470.584085648145</v>
      </c>
      <c r="B500">
        <v>1.2106E-2</v>
      </c>
    </row>
    <row r="501" spans="1:2" x14ac:dyDescent="0.25">
      <c r="A501" s="2">
        <v>45470.584317129629</v>
      </c>
      <c r="B501">
        <v>1.1866E-2</v>
      </c>
    </row>
    <row r="502" spans="1:2" x14ac:dyDescent="0.25">
      <c r="A502" s="2">
        <v>45470.584548611114</v>
      </c>
      <c r="B502">
        <v>1.0893E-2</v>
      </c>
    </row>
    <row r="503" spans="1:2" x14ac:dyDescent="0.25">
      <c r="A503" s="2">
        <v>45470.584780092591</v>
      </c>
      <c r="B503">
        <v>9.9830000000000006E-3</v>
      </c>
    </row>
    <row r="504" spans="1:2" x14ac:dyDescent="0.25">
      <c r="A504" s="2">
        <v>45470.585011574076</v>
      </c>
      <c r="B504">
        <v>9.0609999999999996E-3</v>
      </c>
    </row>
    <row r="505" spans="1:2" x14ac:dyDescent="0.25">
      <c r="A505" s="2">
        <v>45470.585243055553</v>
      </c>
      <c r="B505">
        <v>8.3960000000000007E-3</v>
      </c>
    </row>
    <row r="506" spans="1:2" x14ac:dyDescent="0.25">
      <c r="A506" s="2">
        <v>45470.585474537038</v>
      </c>
      <c r="B506">
        <v>7.4900000000000001E-3</v>
      </c>
    </row>
    <row r="507" spans="1:2" x14ac:dyDescent="0.25">
      <c r="A507" s="2">
        <v>45470.585706018515</v>
      </c>
      <c r="B507">
        <v>6.7970000000000001E-3</v>
      </c>
    </row>
    <row r="508" spans="1:2" x14ac:dyDescent="0.25">
      <c r="A508" s="2">
        <v>45470.5859375</v>
      </c>
      <c r="B508">
        <v>6.2960000000000004E-3</v>
      </c>
    </row>
    <row r="509" spans="1:2" x14ac:dyDescent="0.25">
      <c r="A509" s="2">
        <v>45470.586168981485</v>
      </c>
      <c r="B509">
        <v>6.071E-3</v>
      </c>
    </row>
    <row r="510" spans="1:2" x14ac:dyDescent="0.25">
      <c r="A510" s="2">
        <v>45470.586400462962</v>
      </c>
      <c r="B510">
        <v>5.9100000000000003E-3</v>
      </c>
    </row>
    <row r="511" spans="1:2" x14ac:dyDescent="0.25">
      <c r="A511" s="2">
        <v>45470.586631944447</v>
      </c>
      <c r="B511">
        <v>5.2300000000000003E-3</v>
      </c>
    </row>
    <row r="512" spans="1:2" x14ac:dyDescent="0.25">
      <c r="A512" s="2">
        <v>45470.586863425924</v>
      </c>
      <c r="B512">
        <v>5.339E-3</v>
      </c>
    </row>
    <row r="513" spans="1:2" x14ac:dyDescent="0.25">
      <c r="A513" s="2">
        <v>45470.587094907409</v>
      </c>
      <c r="B513">
        <v>5.4310000000000001E-3</v>
      </c>
    </row>
    <row r="514" spans="1:2" x14ac:dyDescent="0.25">
      <c r="A514" s="2">
        <v>45470.587326388886</v>
      </c>
      <c r="B514">
        <v>5.2560000000000003E-3</v>
      </c>
    </row>
    <row r="515" spans="1:2" x14ac:dyDescent="0.25">
      <c r="A515" s="2">
        <v>45470.587557870371</v>
      </c>
      <c r="B515">
        <v>4.9459999999999999E-3</v>
      </c>
    </row>
    <row r="516" spans="1:2" x14ac:dyDescent="0.25">
      <c r="A516" s="2">
        <v>45470.587789351855</v>
      </c>
      <c r="B516">
        <v>4.8630000000000001E-3</v>
      </c>
    </row>
    <row r="517" spans="1:2" x14ac:dyDescent="0.25">
      <c r="A517" s="2">
        <v>45470.588020833333</v>
      </c>
      <c r="B517">
        <v>4.797E-3</v>
      </c>
    </row>
    <row r="518" spans="1:2" x14ac:dyDescent="0.25">
      <c r="A518" s="2">
        <v>45470.588252314818</v>
      </c>
      <c r="B518">
        <v>4.6210000000000001E-3</v>
      </c>
    </row>
    <row r="519" spans="1:2" x14ac:dyDescent="0.25">
      <c r="A519" s="2">
        <v>45470.588483796295</v>
      </c>
      <c r="B519">
        <v>4.5630000000000002E-3</v>
      </c>
    </row>
    <row r="520" spans="1:2" x14ac:dyDescent="0.25">
      <c r="A520" s="2">
        <v>45470.58871527778</v>
      </c>
      <c r="B520">
        <v>4.3870000000000003E-3</v>
      </c>
    </row>
    <row r="521" spans="1:2" x14ac:dyDescent="0.25">
      <c r="A521" s="2">
        <v>45470.588946759257</v>
      </c>
      <c r="B521">
        <v>4.346E-3</v>
      </c>
    </row>
    <row r="522" spans="1:2" x14ac:dyDescent="0.25">
      <c r="A522" s="2">
        <v>45470.589178240742</v>
      </c>
      <c r="B522">
        <v>4.1660000000000004E-3</v>
      </c>
    </row>
    <row r="523" spans="1:2" x14ac:dyDescent="0.25">
      <c r="A523" s="2">
        <v>45470.589409722219</v>
      </c>
      <c r="B523">
        <v>4.143E-3</v>
      </c>
    </row>
    <row r="524" spans="1:2" x14ac:dyDescent="0.25">
      <c r="A524" s="2">
        <v>45470.589641203704</v>
      </c>
      <c r="B524">
        <v>4.1060000000000003E-3</v>
      </c>
    </row>
    <row r="525" spans="1:2" x14ac:dyDescent="0.25">
      <c r="A525" s="2">
        <v>45470.589872685188</v>
      </c>
      <c r="B525">
        <v>4.0229999999999997E-3</v>
      </c>
    </row>
    <row r="526" spans="1:2" x14ac:dyDescent="0.25">
      <c r="A526" s="2">
        <v>45470.590104166666</v>
      </c>
      <c r="B526">
        <v>4.2240000000000003E-3</v>
      </c>
    </row>
    <row r="527" spans="1:2" x14ac:dyDescent="0.25">
      <c r="A527" s="2">
        <v>45470.59033564815</v>
      </c>
      <c r="B527">
        <v>3.8630000000000001E-3</v>
      </c>
    </row>
    <row r="528" spans="1:2" x14ac:dyDescent="0.25">
      <c r="A528" s="2">
        <v>45470.590567129628</v>
      </c>
      <c r="B528">
        <v>3.8289999999999999E-3</v>
      </c>
    </row>
    <row r="529" spans="1:2" x14ac:dyDescent="0.25">
      <c r="A529" s="2">
        <v>45470.590798611112</v>
      </c>
      <c r="B529">
        <v>3.7940000000000001E-3</v>
      </c>
    </row>
    <row r="530" spans="1:2" x14ac:dyDescent="0.25">
      <c r="A530" s="2">
        <v>45470.59103009259</v>
      </c>
      <c r="B530">
        <v>3.725E-3</v>
      </c>
    </row>
    <row r="531" spans="1:2" x14ac:dyDescent="0.25">
      <c r="A531" s="2">
        <v>45470.591261574074</v>
      </c>
      <c r="B531">
        <v>3.8300000000000001E-3</v>
      </c>
    </row>
    <row r="532" spans="1:2" x14ac:dyDescent="0.25">
      <c r="A532" s="2">
        <v>45470.591493055559</v>
      </c>
      <c r="B532">
        <v>3.6900000000000001E-3</v>
      </c>
    </row>
    <row r="533" spans="1:2" x14ac:dyDescent="0.25">
      <c r="A533" s="2">
        <v>45470.591724537036</v>
      </c>
      <c r="B533">
        <v>3.6900000000000001E-3</v>
      </c>
    </row>
    <row r="534" spans="1:2" x14ac:dyDescent="0.25">
      <c r="A534" s="2">
        <v>45470.591956018521</v>
      </c>
      <c r="B534">
        <v>3.6410000000000001E-3</v>
      </c>
    </row>
    <row r="535" spans="1:2" x14ac:dyDescent="0.25">
      <c r="A535" s="2">
        <v>45470.592187499999</v>
      </c>
      <c r="B535">
        <v>3.5639999999999999E-3</v>
      </c>
    </row>
    <row r="536" spans="1:2" x14ac:dyDescent="0.25">
      <c r="A536" s="2">
        <v>45470.592418981483</v>
      </c>
      <c r="B536">
        <v>3.7130000000000002E-3</v>
      </c>
    </row>
    <row r="537" spans="1:2" x14ac:dyDescent="0.25">
      <c r="A537" s="2">
        <v>45470.592650462961</v>
      </c>
      <c r="B537">
        <v>3.5690000000000001E-3</v>
      </c>
    </row>
    <row r="538" spans="1:2" x14ac:dyDescent="0.25">
      <c r="A538" s="2">
        <v>45470.592881944445</v>
      </c>
      <c r="B538">
        <v>3.4880000000000002E-3</v>
      </c>
    </row>
    <row r="539" spans="1:2" x14ac:dyDescent="0.25">
      <c r="A539" s="2">
        <v>45470.593113425923</v>
      </c>
      <c r="B539">
        <v>3.2959999999999999E-3</v>
      </c>
    </row>
    <row r="540" spans="1:2" x14ac:dyDescent="0.25">
      <c r="A540" s="2">
        <v>45470.593344907407</v>
      </c>
      <c r="B540">
        <v>3.3519999999999999E-3</v>
      </c>
    </row>
    <row r="541" spans="1:2" x14ac:dyDescent="0.25">
      <c r="A541" s="2">
        <v>45470.593576388892</v>
      </c>
      <c r="B541">
        <v>3.5620000000000001E-3</v>
      </c>
    </row>
    <row r="542" spans="1:2" x14ac:dyDescent="0.25">
      <c r="A542" s="2">
        <v>45470.593807870369</v>
      </c>
      <c r="B542">
        <v>3.4480000000000001E-3</v>
      </c>
    </row>
    <row r="543" spans="1:2" x14ac:dyDescent="0.25">
      <c r="A543" s="2">
        <v>45470.594039351854</v>
      </c>
      <c r="B543">
        <v>3.5279999999999999E-3</v>
      </c>
    </row>
    <row r="544" spans="1:2" x14ac:dyDescent="0.25">
      <c r="A544" s="2">
        <v>45470.594270833331</v>
      </c>
      <c r="B544">
        <v>3.5899999999999999E-3</v>
      </c>
    </row>
    <row r="545" spans="1:2" x14ac:dyDescent="0.25">
      <c r="A545" s="2">
        <v>45470.594502314816</v>
      </c>
      <c r="B545">
        <v>3.4710000000000001E-3</v>
      </c>
    </row>
    <row r="546" spans="1:2" x14ac:dyDescent="0.25">
      <c r="A546" s="2">
        <v>45470.594733796293</v>
      </c>
      <c r="B546">
        <v>3.5890000000000002E-3</v>
      </c>
    </row>
    <row r="547" spans="1:2" x14ac:dyDescent="0.25">
      <c r="A547" s="2">
        <v>45470.594965277778</v>
      </c>
      <c r="B547">
        <v>3.62E-3</v>
      </c>
    </row>
    <row r="548" spans="1:2" x14ac:dyDescent="0.25">
      <c r="A548" s="2">
        <v>45470.595196759263</v>
      </c>
      <c r="B548">
        <v>3.5469999999999998E-3</v>
      </c>
    </row>
    <row r="549" spans="1:2" x14ac:dyDescent="0.25">
      <c r="A549" s="2">
        <v>45470.59542824074</v>
      </c>
      <c r="B549">
        <v>3.591E-3</v>
      </c>
    </row>
    <row r="550" spans="1:2" x14ac:dyDescent="0.25">
      <c r="A550" s="2">
        <v>45470.595659722225</v>
      </c>
      <c r="B550">
        <v>3.4659999999999999E-3</v>
      </c>
    </row>
    <row r="551" spans="1:2" x14ac:dyDescent="0.25">
      <c r="A551" s="2">
        <v>45470.595891203702</v>
      </c>
      <c r="B551">
        <v>3.545E-3</v>
      </c>
    </row>
    <row r="552" spans="1:2" x14ac:dyDescent="0.25">
      <c r="A552" s="2">
        <v>45470.596122685187</v>
      </c>
      <c r="B552">
        <v>3.5959999999999998E-3</v>
      </c>
    </row>
    <row r="553" spans="1:2" x14ac:dyDescent="0.25">
      <c r="A553" s="2">
        <v>45470.596354166664</v>
      </c>
      <c r="B553">
        <v>3.6219999999999998E-3</v>
      </c>
    </row>
    <row r="554" spans="1:2" x14ac:dyDescent="0.25">
      <c r="A554" s="2">
        <v>45470.596585648149</v>
      </c>
      <c r="B554">
        <v>3.3739999999999998E-3</v>
      </c>
    </row>
    <row r="555" spans="1:2" x14ac:dyDescent="0.25">
      <c r="A555" s="2">
        <v>45470.596817129626</v>
      </c>
      <c r="B555">
        <v>3.4480000000000001E-3</v>
      </c>
    </row>
    <row r="556" spans="1:2" x14ac:dyDescent="0.25">
      <c r="A556" s="2">
        <v>45470.597048611111</v>
      </c>
      <c r="B556">
        <v>3.519E-3</v>
      </c>
    </row>
    <row r="557" spans="1:2" x14ac:dyDescent="0.25">
      <c r="A557" s="2">
        <v>45470.597280092596</v>
      </c>
      <c r="B557">
        <v>3.4220000000000001E-3</v>
      </c>
    </row>
    <row r="558" spans="1:2" x14ac:dyDescent="0.25">
      <c r="A558" s="2">
        <v>45470.597511574073</v>
      </c>
      <c r="B558">
        <v>3.4039999999999999E-3</v>
      </c>
    </row>
    <row r="559" spans="1:2" x14ac:dyDescent="0.25">
      <c r="A559" s="2">
        <v>45470.597743055558</v>
      </c>
      <c r="B559">
        <v>3.5699999999999998E-3</v>
      </c>
    </row>
    <row r="560" spans="1:2" x14ac:dyDescent="0.25">
      <c r="A560" s="2">
        <v>45470.597974537035</v>
      </c>
      <c r="B560">
        <v>3.2889999999999998E-3</v>
      </c>
    </row>
    <row r="561" spans="1:2" x14ac:dyDescent="0.25">
      <c r="A561" s="2">
        <v>45470.59820601852</v>
      </c>
      <c r="B561">
        <v>3.3639999999999998E-3</v>
      </c>
    </row>
    <row r="562" spans="1:2" x14ac:dyDescent="0.25">
      <c r="A562" s="2">
        <v>45470.598437499997</v>
      </c>
      <c r="B562">
        <v>3.4529999999999999E-3</v>
      </c>
    </row>
    <row r="563" spans="1:2" x14ac:dyDescent="0.25">
      <c r="A563" s="2">
        <v>45470.598668981482</v>
      </c>
      <c r="B563">
        <v>3.5140000000000002E-3</v>
      </c>
    </row>
    <row r="564" spans="1:2" x14ac:dyDescent="0.25">
      <c r="A564" s="2">
        <v>45470.598900462966</v>
      </c>
      <c r="B564">
        <v>3.1719999999999999E-3</v>
      </c>
    </row>
    <row r="565" spans="1:2" x14ac:dyDescent="0.25">
      <c r="A565" s="2">
        <v>45470.599131944444</v>
      </c>
      <c r="B565">
        <v>3.2290000000000001E-3</v>
      </c>
    </row>
    <row r="566" spans="1:2" x14ac:dyDescent="0.25">
      <c r="A566" s="2">
        <v>45470.599363425928</v>
      </c>
      <c r="B566">
        <v>3.3040000000000001E-3</v>
      </c>
    </row>
    <row r="567" spans="1:2" x14ac:dyDescent="0.25">
      <c r="A567" s="2">
        <v>45470.599594907406</v>
      </c>
      <c r="B567">
        <v>3.3349999999999999E-3</v>
      </c>
    </row>
    <row r="568" spans="1:2" x14ac:dyDescent="0.25">
      <c r="A568" s="2">
        <v>45470.599826388891</v>
      </c>
      <c r="B568">
        <v>3.4169999999999999E-3</v>
      </c>
    </row>
    <row r="569" spans="1:2" x14ac:dyDescent="0.25">
      <c r="A569" s="2">
        <v>45470.600057870368</v>
      </c>
      <c r="B569">
        <v>3.3449999999999999E-3</v>
      </c>
    </row>
    <row r="570" spans="1:2" x14ac:dyDescent="0.25">
      <c r="A570" s="2">
        <v>45470.600289351853</v>
      </c>
      <c r="B570">
        <v>3.0720000000000001E-3</v>
      </c>
    </row>
    <row r="571" spans="1:2" x14ac:dyDescent="0.25">
      <c r="A571" s="2">
        <v>45470.60052083333</v>
      </c>
      <c r="B571">
        <v>3.117E-3</v>
      </c>
    </row>
    <row r="572" spans="1:2" x14ac:dyDescent="0.25">
      <c r="A572" s="2">
        <v>45470.600752314815</v>
      </c>
      <c r="B572">
        <v>3.124E-3</v>
      </c>
    </row>
    <row r="573" spans="1:2" x14ac:dyDescent="0.25">
      <c r="A573" s="2">
        <v>45470.600983796299</v>
      </c>
      <c r="B573">
        <v>3.2160000000000001E-3</v>
      </c>
    </row>
    <row r="574" spans="1:2" x14ac:dyDescent="0.25">
      <c r="A574" s="2">
        <v>45470.601215277777</v>
      </c>
      <c r="B574">
        <v>3.1099999999999999E-3</v>
      </c>
    </row>
    <row r="575" spans="1:2" x14ac:dyDescent="0.25">
      <c r="A575" s="2">
        <v>45470.601446759261</v>
      </c>
      <c r="B575">
        <v>3.1250000000000002E-3</v>
      </c>
    </row>
    <row r="576" spans="1:2" x14ac:dyDescent="0.25">
      <c r="A576" s="2">
        <v>45470.601678240739</v>
      </c>
      <c r="B576">
        <v>3.1640000000000001E-3</v>
      </c>
    </row>
    <row r="577" spans="1:2" x14ac:dyDescent="0.25">
      <c r="A577" s="2">
        <v>45470.601909722223</v>
      </c>
      <c r="B577">
        <v>3.107E-3</v>
      </c>
    </row>
    <row r="578" spans="1:2" x14ac:dyDescent="0.25">
      <c r="A578" s="2">
        <v>45470.602141203701</v>
      </c>
      <c r="B578">
        <v>2.996E-3</v>
      </c>
    </row>
    <row r="579" spans="1:2" x14ac:dyDescent="0.25">
      <c r="A579" s="2">
        <v>45470.602372685185</v>
      </c>
      <c r="B579">
        <v>2.9629999999999999E-3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20240627-6D000000710BF641___ HY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Salvadé Yves</dc:creator>
  <cp:lastModifiedBy>Salvadé Yves</cp:lastModifiedBy>
  <dcterms:created xsi:type="dcterms:W3CDTF">2024-06-28T06:51:58Z</dcterms:created>
  <dcterms:modified xsi:type="dcterms:W3CDTF">2024-07-02T08:54:35Z</dcterms:modified>
</cp:coreProperties>
</file>